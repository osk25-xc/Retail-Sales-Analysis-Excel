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4A3B60BE-E041-4F10-B886-3DCF8EBF4FC3}" xr6:coauthVersionLast="47" xr6:coauthVersionMax="47" xr10:uidLastSave="{00000000-0000-0000-0000-000000000000}"/>
  <bookViews>
    <workbookView xWindow="-108" yWindow="-108" windowWidth="23256" windowHeight="13176" firstSheet="5" activeTab="6" xr2:uid="{5B5A9583-D34E-475D-81D6-4C60249CE9E7}"/>
  </bookViews>
  <sheets>
    <sheet name="Sheet4" sheetId="5" r:id="rId1"/>
    <sheet name="Sheet5" sheetId="6" r:id="rId2"/>
    <sheet name="Sheet6" sheetId="7" r:id="rId3"/>
    <sheet name="Sheet7" sheetId="8" r:id="rId4"/>
    <sheet name="Retail_Sales_Analysis_Dataset (" sheetId="3" r:id="rId5"/>
    <sheet name="Sheet1" sheetId="1" r:id="rId6"/>
    <sheet name="Dashboard_Final" sheetId="2" r:id="rId7"/>
    <sheet name="Sheet3" sheetId="4" r:id="rId8"/>
  </sheets>
  <definedNames>
    <definedName name="ExternalData_1" localSheetId="4" hidden="1">'Retail_Sales_Analysis_Dataset ('!$A$1:$J$501</definedName>
    <definedName name="Slicer_Months">#N/A</definedName>
    <definedName name="Slicer_Region">#N/A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2" l="1"/>
  <c r="H5" i="2"/>
  <c r="C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027EE-87B0-4163-B09A-22FDCB0C2354}" keepAlive="1" name="Query - Retail_Sales_Analysis_Dataset (3)" description="Connection to the 'Retail_Sales_Analysis_Dataset (3)' query in the workbook." type="5" refreshedVersion="7" background="1" saveData="1">
    <dbPr connection="Provider=Microsoft.Mashup.OleDb.1;Data Source=$Workbook$;Location=&quot;Retail_Sales_Analysis_Dataset (3)&quot;;Extended Properties=&quot;&quot;" command="SELECT * FROM [Retail_Sales_Analysis_Dataset (3)]"/>
  </connection>
</connections>
</file>

<file path=xl/sharedStrings.xml><?xml version="1.0" encoding="utf-8"?>
<sst xmlns="http://schemas.openxmlformats.org/spreadsheetml/2006/main" count="2073" uniqueCount="560">
  <si>
    <t>RETAIL SALES ANALYSIS DASHBOARD</t>
  </si>
  <si>
    <t>Sales Performance | Profitability | Regional Analysis</t>
  </si>
  <si>
    <t>TOTAL SALES</t>
  </si>
  <si>
    <t>Order ID</t>
  </si>
  <si>
    <t>Order Date</t>
  </si>
  <si>
    <t>Region</t>
  </si>
  <si>
    <t>Category</t>
  </si>
  <si>
    <t>Product</t>
  </si>
  <si>
    <t>Quantity</t>
  </si>
  <si>
    <t>Unit Price</t>
  </si>
  <si>
    <t>Sales</t>
  </si>
  <si>
    <t>Cost</t>
  </si>
  <si>
    <t>Profit</t>
  </si>
  <si>
    <t>RT-0001</t>
  </si>
  <si>
    <t>North</t>
  </si>
  <si>
    <t>Home &amp; Kitchen</t>
  </si>
  <si>
    <t>Water Bottle</t>
  </si>
  <si>
    <t>RT-0002</t>
  </si>
  <si>
    <t>Office Supplies</t>
  </si>
  <si>
    <t>Notebook Pack</t>
  </si>
  <si>
    <t>RT-0003</t>
  </si>
  <si>
    <t>Central</t>
  </si>
  <si>
    <t>Electronics</t>
  </si>
  <si>
    <t>Monitor</t>
  </si>
  <si>
    <t>RT-0004</t>
  </si>
  <si>
    <t>West</t>
  </si>
  <si>
    <t>Pen Set</t>
  </si>
  <si>
    <t>RT-0005</t>
  </si>
  <si>
    <t>Wireless Mouse</t>
  </si>
  <si>
    <t>RT-0006</t>
  </si>
  <si>
    <t>RT-0007</t>
  </si>
  <si>
    <t>RT-0008</t>
  </si>
  <si>
    <t>Furniture</t>
  </si>
  <si>
    <t>Office Chair</t>
  </si>
  <si>
    <t>RT-0009</t>
  </si>
  <si>
    <t>Lamp</t>
  </si>
  <si>
    <t>RT-0010</t>
  </si>
  <si>
    <t>South</t>
  </si>
  <si>
    <t>Lunch Box</t>
  </si>
  <si>
    <t>RT-0011</t>
  </si>
  <si>
    <t>USB Hub</t>
  </si>
  <si>
    <t>RT-0012</t>
  </si>
  <si>
    <t>East</t>
  </si>
  <si>
    <t>Storage Box</t>
  </si>
  <si>
    <t>RT-0013</t>
  </si>
  <si>
    <t>Keyboard</t>
  </si>
  <si>
    <t>RT-0014</t>
  </si>
  <si>
    <t>Desk</t>
  </si>
  <si>
    <t>RT-0015</t>
  </si>
  <si>
    <t>Mug Set</t>
  </si>
  <si>
    <t>RT-0016</t>
  </si>
  <si>
    <t>RT-0017</t>
  </si>
  <si>
    <t>Folders</t>
  </si>
  <si>
    <t>RT-0018</t>
  </si>
  <si>
    <t>RT-0019</t>
  </si>
  <si>
    <t>Filing Cabinet</t>
  </si>
  <si>
    <t>RT-0020</t>
  </si>
  <si>
    <t>RT-0021</t>
  </si>
  <si>
    <t>RT-0022</t>
  </si>
  <si>
    <t>RT-0023</t>
  </si>
  <si>
    <t>RT-0024</t>
  </si>
  <si>
    <t>RT-0025</t>
  </si>
  <si>
    <t>Bookshelf</t>
  </si>
  <si>
    <t>RT-0026</t>
  </si>
  <si>
    <t>RT-0027</t>
  </si>
  <si>
    <t>Printer Paper</t>
  </si>
  <si>
    <t>RT-0028</t>
  </si>
  <si>
    <t>RT-0029</t>
  </si>
  <si>
    <t>RT-0030</t>
  </si>
  <si>
    <t>RT-0031</t>
  </si>
  <si>
    <t>RT-0032</t>
  </si>
  <si>
    <t>RT-0033</t>
  </si>
  <si>
    <t>Kitchen Scale</t>
  </si>
  <si>
    <t>RT-0034</t>
  </si>
  <si>
    <t>RT-0035</t>
  </si>
  <si>
    <t>RT-0036</t>
  </si>
  <si>
    <t>RT-0037</t>
  </si>
  <si>
    <t>RT-0038</t>
  </si>
  <si>
    <t>RT-0039</t>
  </si>
  <si>
    <t>RT-0040</t>
  </si>
  <si>
    <t>RT-0041</t>
  </si>
  <si>
    <t>RT-0042</t>
  </si>
  <si>
    <t>Stapler</t>
  </si>
  <si>
    <t>RT-0043</t>
  </si>
  <si>
    <t>RT-0044</t>
  </si>
  <si>
    <t>RT-0045</t>
  </si>
  <si>
    <t>RT-0046</t>
  </si>
  <si>
    <t>RT-0047</t>
  </si>
  <si>
    <t>RT-0048</t>
  </si>
  <si>
    <t>RT-0049</t>
  </si>
  <si>
    <t>RT-0050</t>
  </si>
  <si>
    <t>RT-0051</t>
  </si>
  <si>
    <t>RT-0052</t>
  </si>
  <si>
    <t>RT-0053</t>
  </si>
  <si>
    <t>RT-0054</t>
  </si>
  <si>
    <t>RT-0055</t>
  </si>
  <si>
    <t>RT-0056</t>
  </si>
  <si>
    <t>Headphones</t>
  </si>
  <si>
    <t>RT-0057</t>
  </si>
  <si>
    <t>RT-0058</t>
  </si>
  <si>
    <t>RT-0059</t>
  </si>
  <si>
    <t>RT-0060</t>
  </si>
  <si>
    <t>RT-0061</t>
  </si>
  <si>
    <t>RT-0062</t>
  </si>
  <si>
    <t>RT-0063</t>
  </si>
  <si>
    <t>RT-0064</t>
  </si>
  <si>
    <t>RT-0065</t>
  </si>
  <si>
    <t>RT-0066</t>
  </si>
  <si>
    <t>RT-0067</t>
  </si>
  <si>
    <t>RT-0068</t>
  </si>
  <si>
    <t>RT-0069</t>
  </si>
  <si>
    <t>RT-0070</t>
  </si>
  <si>
    <t>RT-0071</t>
  </si>
  <si>
    <t>RT-0072</t>
  </si>
  <si>
    <t>RT-0073</t>
  </si>
  <si>
    <t>RT-0074</t>
  </si>
  <si>
    <t>RT-0075</t>
  </si>
  <si>
    <t>RT-0076</t>
  </si>
  <si>
    <t>RT-0077</t>
  </si>
  <si>
    <t>RT-0078</t>
  </si>
  <si>
    <t>RT-0079</t>
  </si>
  <si>
    <t>RT-0080</t>
  </si>
  <si>
    <t>RT-0081</t>
  </si>
  <si>
    <t>RT-0082</t>
  </si>
  <si>
    <t>RT-0083</t>
  </si>
  <si>
    <t>RT-0084</t>
  </si>
  <si>
    <t>RT-0085</t>
  </si>
  <si>
    <t>RT-0086</t>
  </si>
  <si>
    <t>RT-0087</t>
  </si>
  <si>
    <t>RT-0088</t>
  </si>
  <si>
    <t>RT-0089</t>
  </si>
  <si>
    <t>RT-0090</t>
  </si>
  <si>
    <t>RT-0091</t>
  </si>
  <si>
    <t>RT-0092</t>
  </si>
  <si>
    <t>RT-0093</t>
  </si>
  <si>
    <t>RT-0094</t>
  </si>
  <si>
    <t>RT-0095</t>
  </si>
  <si>
    <t>RT-0096</t>
  </si>
  <si>
    <t>RT-0097</t>
  </si>
  <si>
    <t>RT-0098</t>
  </si>
  <si>
    <t>RT-0099</t>
  </si>
  <si>
    <t>RT-0100</t>
  </si>
  <si>
    <t>RT-0101</t>
  </si>
  <si>
    <t>RT-0102</t>
  </si>
  <si>
    <t>RT-0103</t>
  </si>
  <si>
    <t>RT-0104</t>
  </si>
  <si>
    <t>RT-0105</t>
  </si>
  <si>
    <t>RT-0106</t>
  </si>
  <si>
    <t>RT-0107</t>
  </si>
  <si>
    <t>RT-0108</t>
  </si>
  <si>
    <t>RT-0109</t>
  </si>
  <si>
    <t>RT-0110</t>
  </si>
  <si>
    <t>RT-0111</t>
  </si>
  <si>
    <t>RT-0112</t>
  </si>
  <si>
    <t>RT-0113</t>
  </si>
  <si>
    <t>RT-0114</t>
  </si>
  <si>
    <t>RT-0115</t>
  </si>
  <si>
    <t>RT-0116</t>
  </si>
  <si>
    <t>RT-0117</t>
  </si>
  <si>
    <t>RT-0118</t>
  </si>
  <si>
    <t>RT-0119</t>
  </si>
  <si>
    <t>RT-0120</t>
  </si>
  <si>
    <t>RT-0121</t>
  </si>
  <si>
    <t>RT-0122</t>
  </si>
  <si>
    <t>RT-0123</t>
  </si>
  <si>
    <t>RT-0124</t>
  </si>
  <si>
    <t>RT-0125</t>
  </si>
  <si>
    <t>RT-0126</t>
  </si>
  <si>
    <t>RT-0127</t>
  </si>
  <si>
    <t>RT-0128</t>
  </si>
  <si>
    <t>RT-0129</t>
  </si>
  <si>
    <t>RT-0130</t>
  </si>
  <si>
    <t>RT-0131</t>
  </si>
  <si>
    <t>RT-0132</t>
  </si>
  <si>
    <t>RT-0133</t>
  </si>
  <si>
    <t>RT-0134</t>
  </si>
  <si>
    <t>RT-0135</t>
  </si>
  <si>
    <t>RT-0136</t>
  </si>
  <si>
    <t>RT-0137</t>
  </si>
  <si>
    <t>RT-0138</t>
  </si>
  <si>
    <t>RT-0139</t>
  </si>
  <si>
    <t>RT-0140</t>
  </si>
  <si>
    <t>RT-0141</t>
  </si>
  <si>
    <t>RT-0142</t>
  </si>
  <si>
    <t>RT-0143</t>
  </si>
  <si>
    <t>RT-0144</t>
  </si>
  <si>
    <t>RT-0145</t>
  </si>
  <si>
    <t>RT-0146</t>
  </si>
  <si>
    <t>RT-0147</t>
  </si>
  <si>
    <t>RT-0148</t>
  </si>
  <si>
    <t>RT-0149</t>
  </si>
  <si>
    <t>RT-0150</t>
  </si>
  <si>
    <t>RT-0151</t>
  </si>
  <si>
    <t>RT-0152</t>
  </si>
  <si>
    <t>RT-0153</t>
  </si>
  <si>
    <t>RT-0154</t>
  </si>
  <si>
    <t>RT-0155</t>
  </si>
  <si>
    <t>RT-0156</t>
  </si>
  <si>
    <t>RT-0157</t>
  </si>
  <si>
    <t>RT-0158</t>
  </si>
  <si>
    <t>RT-0159</t>
  </si>
  <si>
    <t>RT-0160</t>
  </si>
  <si>
    <t>RT-0161</t>
  </si>
  <si>
    <t>RT-0162</t>
  </si>
  <si>
    <t>RT-0163</t>
  </si>
  <si>
    <t>RT-0164</t>
  </si>
  <si>
    <t>RT-0165</t>
  </si>
  <si>
    <t>RT-0166</t>
  </si>
  <si>
    <t>RT-0167</t>
  </si>
  <si>
    <t>RT-0168</t>
  </si>
  <si>
    <t>RT-0169</t>
  </si>
  <si>
    <t>RT-0170</t>
  </si>
  <si>
    <t>RT-0171</t>
  </si>
  <si>
    <t>RT-0172</t>
  </si>
  <si>
    <t>RT-0173</t>
  </si>
  <si>
    <t>RT-0174</t>
  </si>
  <si>
    <t>RT-0175</t>
  </si>
  <si>
    <t>RT-0176</t>
  </si>
  <si>
    <t>RT-0177</t>
  </si>
  <si>
    <t>RT-0178</t>
  </si>
  <si>
    <t>RT-0179</t>
  </si>
  <si>
    <t>RT-0180</t>
  </si>
  <si>
    <t>RT-0181</t>
  </si>
  <si>
    <t>RT-0182</t>
  </si>
  <si>
    <t>RT-0183</t>
  </si>
  <si>
    <t>RT-0184</t>
  </si>
  <si>
    <t>RT-0185</t>
  </si>
  <si>
    <t>RT-0186</t>
  </si>
  <si>
    <t>RT-0187</t>
  </si>
  <si>
    <t>RT-0188</t>
  </si>
  <si>
    <t>RT-0189</t>
  </si>
  <si>
    <t>RT-0190</t>
  </si>
  <si>
    <t>RT-0191</t>
  </si>
  <si>
    <t>RT-0192</t>
  </si>
  <si>
    <t>RT-0193</t>
  </si>
  <si>
    <t>RT-0194</t>
  </si>
  <si>
    <t>RT-0195</t>
  </si>
  <si>
    <t>RT-0196</t>
  </si>
  <si>
    <t>RT-0197</t>
  </si>
  <si>
    <t>RT-0198</t>
  </si>
  <si>
    <t>RT-0199</t>
  </si>
  <si>
    <t>RT-0200</t>
  </si>
  <si>
    <t>RT-0201</t>
  </si>
  <si>
    <t>RT-0202</t>
  </si>
  <si>
    <t>RT-0203</t>
  </si>
  <si>
    <t>RT-0204</t>
  </si>
  <si>
    <t>RT-0205</t>
  </si>
  <si>
    <t>RT-0206</t>
  </si>
  <si>
    <t>RT-0207</t>
  </si>
  <si>
    <t>RT-0208</t>
  </si>
  <si>
    <t>RT-0209</t>
  </si>
  <si>
    <t>RT-0210</t>
  </si>
  <si>
    <t>RT-0211</t>
  </si>
  <si>
    <t>RT-0212</t>
  </si>
  <si>
    <t>RT-0213</t>
  </si>
  <si>
    <t>RT-0214</t>
  </si>
  <si>
    <t>RT-0215</t>
  </si>
  <si>
    <t>RT-0216</t>
  </si>
  <si>
    <t>RT-0217</t>
  </si>
  <si>
    <t>RT-0218</t>
  </si>
  <si>
    <t>RT-0219</t>
  </si>
  <si>
    <t>RT-0220</t>
  </si>
  <si>
    <t>RT-0221</t>
  </si>
  <si>
    <t>RT-0222</t>
  </si>
  <si>
    <t>RT-0223</t>
  </si>
  <si>
    <t>RT-0224</t>
  </si>
  <si>
    <t>RT-0225</t>
  </si>
  <si>
    <t>RT-0226</t>
  </si>
  <si>
    <t>RT-0227</t>
  </si>
  <si>
    <t>RT-0228</t>
  </si>
  <si>
    <t>RT-0229</t>
  </si>
  <si>
    <t>RT-0230</t>
  </si>
  <si>
    <t>RT-0231</t>
  </si>
  <si>
    <t>RT-0232</t>
  </si>
  <si>
    <t>RT-0233</t>
  </si>
  <si>
    <t>RT-0234</t>
  </si>
  <si>
    <t>RT-0235</t>
  </si>
  <si>
    <t>RT-0236</t>
  </si>
  <si>
    <t>RT-0237</t>
  </si>
  <si>
    <t>RT-0238</t>
  </si>
  <si>
    <t>RT-0239</t>
  </si>
  <si>
    <t>RT-0240</t>
  </si>
  <si>
    <t>RT-0241</t>
  </si>
  <si>
    <t>RT-0242</t>
  </si>
  <si>
    <t>RT-0243</t>
  </si>
  <si>
    <t>RT-0244</t>
  </si>
  <si>
    <t>RT-0245</t>
  </si>
  <si>
    <t>RT-0246</t>
  </si>
  <si>
    <t>RT-0247</t>
  </si>
  <si>
    <t>RT-0248</t>
  </si>
  <si>
    <t>RT-0249</t>
  </si>
  <si>
    <t>RT-0250</t>
  </si>
  <si>
    <t>RT-0251</t>
  </si>
  <si>
    <t>RT-0252</t>
  </si>
  <si>
    <t>RT-0253</t>
  </si>
  <si>
    <t>RT-0254</t>
  </si>
  <si>
    <t>RT-0255</t>
  </si>
  <si>
    <t>RT-0256</t>
  </si>
  <si>
    <t>RT-0257</t>
  </si>
  <si>
    <t>RT-0258</t>
  </si>
  <si>
    <t>RT-0259</t>
  </si>
  <si>
    <t>RT-0260</t>
  </si>
  <si>
    <t>RT-0261</t>
  </si>
  <si>
    <t>RT-0262</t>
  </si>
  <si>
    <t>RT-0263</t>
  </si>
  <si>
    <t>RT-0264</t>
  </si>
  <si>
    <t>RT-0265</t>
  </si>
  <si>
    <t>RT-0266</t>
  </si>
  <si>
    <t>RT-0267</t>
  </si>
  <si>
    <t>RT-0268</t>
  </si>
  <si>
    <t>RT-0269</t>
  </si>
  <si>
    <t>RT-0270</t>
  </si>
  <si>
    <t>RT-0271</t>
  </si>
  <si>
    <t>RT-0272</t>
  </si>
  <si>
    <t>RT-0273</t>
  </si>
  <si>
    <t>RT-0274</t>
  </si>
  <si>
    <t>RT-0275</t>
  </si>
  <si>
    <t>RT-0276</t>
  </si>
  <si>
    <t>RT-0277</t>
  </si>
  <si>
    <t>RT-0278</t>
  </si>
  <si>
    <t>RT-0279</t>
  </si>
  <si>
    <t>RT-0280</t>
  </si>
  <si>
    <t>RT-0281</t>
  </si>
  <si>
    <t>RT-0282</t>
  </si>
  <si>
    <t>RT-0283</t>
  </si>
  <si>
    <t>RT-0284</t>
  </si>
  <si>
    <t>RT-0285</t>
  </si>
  <si>
    <t>RT-0286</t>
  </si>
  <si>
    <t>RT-0287</t>
  </si>
  <si>
    <t>RT-0288</t>
  </si>
  <si>
    <t>RT-0289</t>
  </si>
  <si>
    <t>RT-0290</t>
  </si>
  <si>
    <t>RT-0291</t>
  </si>
  <si>
    <t>RT-0292</t>
  </si>
  <si>
    <t>RT-0293</t>
  </si>
  <si>
    <t>RT-0294</t>
  </si>
  <si>
    <t>RT-0295</t>
  </si>
  <si>
    <t>RT-0296</t>
  </si>
  <si>
    <t>RT-0297</t>
  </si>
  <si>
    <t>RT-0298</t>
  </si>
  <si>
    <t>RT-0299</t>
  </si>
  <si>
    <t>RT-0300</t>
  </si>
  <si>
    <t>RT-0301</t>
  </si>
  <si>
    <t>RT-0302</t>
  </si>
  <si>
    <t>RT-0303</t>
  </si>
  <si>
    <t>RT-0304</t>
  </si>
  <si>
    <t>RT-0305</t>
  </si>
  <si>
    <t>RT-0306</t>
  </si>
  <si>
    <t>RT-0307</t>
  </si>
  <si>
    <t>RT-0308</t>
  </si>
  <si>
    <t>RT-0309</t>
  </si>
  <si>
    <t>RT-0310</t>
  </si>
  <si>
    <t>RT-0311</t>
  </si>
  <si>
    <t>RT-0312</t>
  </si>
  <si>
    <t>RT-0313</t>
  </si>
  <si>
    <t>RT-0314</t>
  </si>
  <si>
    <t>RT-0315</t>
  </si>
  <si>
    <t>RT-0316</t>
  </si>
  <si>
    <t>RT-0317</t>
  </si>
  <si>
    <t>RT-0318</t>
  </si>
  <si>
    <t>RT-0319</t>
  </si>
  <si>
    <t>RT-0320</t>
  </si>
  <si>
    <t>RT-0321</t>
  </si>
  <si>
    <t>RT-0322</t>
  </si>
  <si>
    <t>RT-0323</t>
  </si>
  <si>
    <t>RT-0324</t>
  </si>
  <si>
    <t>RT-0325</t>
  </si>
  <si>
    <t>RT-0326</t>
  </si>
  <si>
    <t>RT-0327</t>
  </si>
  <si>
    <t>RT-0328</t>
  </si>
  <si>
    <t>RT-0329</t>
  </si>
  <si>
    <t>RT-0330</t>
  </si>
  <si>
    <t>RT-0331</t>
  </si>
  <si>
    <t>RT-0332</t>
  </si>
  <si>
    <t>RT-0333</t>
  </si>
  <si>
    <t>RT-0334</t>
  </si>
  <si>
    <t>RT-0335</t>
  </si>
  <si>
    <t>RT-0336</t>
  </si>
  <si>
    <t>RT-0337</t>
  </si>
  <si>
    <t>RT-0338</t>
  </si>
  <si>
    <t>RT-0339</t>
  </si>
  <si>
    <t>RT-0340</t>
  </si>
  <si>
    <t>RT-0341</t>
  </si>
  <si>
    <t>RT-0342</t>
  </si>
  <si>
    <t>RT-0343</t>
  </si>
  <si>
    <t>RT-0344</t>
  </si>
  <si>
    <t>RT-0345</t>
  </si>
  <si>
    <t>RT-0346</t>
  </si>
  <si>
    <t>RT-0347</t>
  </si>
  <si>
    <t>RT-0348</t>
  </si>
  <si>
    <t>RT-0349</t>
  </si>
  <si>
    <t>RT-0350</t>
  </si>
  <si>
    <t>RT-0351</t>
  </si>
  <si>
    <t>RT-0352</t>
  </si>
  <si>
    <t>RT-0353</t>
  </si>
  <si>
    <t>RT-0354</t>
  </si>
  <si>
    <t>RT-0355</t>
  </si>
  <si>
    <t>RT-0356</t>
  </si>
  <si>
    <t>RT-0357</t>
  </si>
  <si>
    <t>RT-0358</t>
  </si>
  <si>
    <t>RT-0359</t>
  </si>
  <si>
    <t>RT-0360</t>
  </si>
  <si>
    <t>RT-0361</t>
  </si>
  <si>
    <t>RT-0362</t>
  </si>
  <si>
    <t>RT-0363</t>
  </si>
  <si>
    <t>RT-0364</t>
  </si>
  <si>
    <t>RT-0365</t>
  </si>
  <si>
    <t>RT-0366</t>
  </si>
  <si>
    <t>RT-0367</t>
  </si>
  <si>
    <t>RT-0368</t>
  </si>
  <si>
    <t>RT-0369</t>
  </si>
  <si>
    <t>RT-0370</t>
  </si>
  <si>
    <t>RT-0371</t>
  </si>
  <si>
    <t>RT-0372</t>
  </si>
  <si>
    <t>RT-0373</t>
  </si>
  <si>
    <t>RT-0374</t>
  </si>
  <si>
    <t>RT-0375</t>
  </si>
  <si>
    <t>RT-0376</t>
  </si>
  <si>
    <t>RT-0377</t>
  </si>
  <si>
    <t>RT-0378</t>
  </si>
  <si>
    <t>RT-0379</t>
  </si>
  <si>
    <t>RT-0380</t>
  </si>
  <si>
    <t>RT-0381</t>
  </si>
  <si>
    <t>RT-0382</t>
  </si>
  <si>
    <t>RT-0383</t>
  </si>
  <si>
    <t>RT-0384</t>
  </si>
  <si>
    <t>RT-0385</t>
  </si>
  <si>
    <t>RT-0386</t>
  </si>
  <si>
    <t>RT-0387</t>
  </si>
  <si>
    <t>RT-0388</t>
  </si>
  <si>
    <t>RT-0389</t>
  </si>
  <si>
    <t>RT-0390</t>
  </si>
  <si>
    <t>RT-0391</t>
  </si>
  <si>
    <t>RT-0392</t>
  </si>
  <si>
    <t>RT-0393</t>
  </si>
  <si>
    <t>RT-0394</t>
  </si>
  <si>
    <t>RT-0395</t>
  </si>
  <si>
    <t>RT-0396</t>
  </si>
  <si>
    <t>RT-0397</t>
  </si>
  <si>
    <t>RT-0398</t>
  </si>
  <si>
    <t>RT-0399</t>
  </si>
  <si>
    <t>RT-0400</t>
  </si>
  <si>
    <t>RT-0401</t>
  </si>
  <si>
    <t>RT-0402</t>
  </si>
  <si>
    <t>RT-0403</t>
  </si>
  <si>
    <t>RT-0404</t>
  </si>
  <si>
    <t>RT-0405</t>
  </si>
  <si>
    <t>RT-0406</t>
  </si>
  <si>
    <t>RT-0407</t>
  </si>
  <si>
    <t>RT-0408</t>
  </si>
  <si>
    <t>RT-0409</t>
  </si>
  <si>
    <t>RT-0410</t>
  </si>
  <si>
    <t>RT-0411</t>
  </si>
  <si>
    <t>RT-0412</t>
  </si>
  <si>
    <t>RT-0413</t>
  </si>
  <si>
    <t>RT-0414</t>
  </si>
  <si>
    <t>RT-0415</t>
  </si>
  <si>
    <t>RT-0416</t>
  </si>
  <si>
    <t>RT-0417</t>
  </si>
  <si>
    <t>RT-0418</t>
  </si>
  <si>
    <t>RT-0419</t>
  </si>
  <si>
    <t>RT-0420</t>
  </si>
  <si>
    <t>RT-0421</t>
  </si>
  <si>
    <t>RT-0422</t>
  </si>
  <si>
    <t>RT-0423</t>
  </si>
  <si>
    <t>RT-0424</t>
  </si>
  <si>
    <t>RT-0425</t>
  </si>
  <si>
    <t>RT-0426</t>
  </si>
  <si>
    <t>RT-0427</t>
  </si>
  <si>
    <t>RT-0428</t>
  </si>
  <si>
    <t>RT-0429</t>
  </si>
  <si>
    <t>RT-0430</t>
  </si>
  <si>
    <t>RT-0431</t>
  </si>
  <si>
    <t>RT-0432</t>
  </si>
  <si>
    <t>RT-0433</t>
  </si>
  <si>
    <t>RT-0434</t>
  </si>
  <si>
    <t>RT-0435</t>
  </si>
  <si>
    <t>RT-0436</t>
  </si>
  <si>
    <t>RT-0437</t>
  </si>
  <si>
    <t>RT-0438</t>
  </si>
  <si>
    <t>RT-0439</t>
  </si>
  <si>
    <t>RT-0440</t>
  </si>
  <si>
    <t>RT-0441</t>
  </si>
  <si>
    <t>RT-0442</t>
  </si>
  <si>
    <t>RT-0443</t>
  </si>
  <si>
    <t>RT-0444</t>
  </si>
  <si>
    <t>RT-0445</t>
  </si>
  <si>
    <t>RT-0446</t>
  </si>
  <si>
    <t>RT-0447</t>
  </si>
  <si>
    <t>RT-0448</t>
  </si>
  <si>
    <t>RT-0449</t>
  </si>
  <si>
    <t>RT-0450</t>
  </si>
  <si>
    <t>RT-0451</t>
  </si>
  <si>
    <t>RT-0452</t>
  </si>
  <si>
    <t>RT-0453</t>
  </si>
  <si>
    <t>RT-0454</t>
  </si>
  <si>
    <t>RT-0455</t>
  </si>
  <si>
    <t>RT-0456</t>
  </si>
  <si>
    <t>RT-0457</t>
  </si>
  <si>
    <t>RT-0458</t>
  </si>
  <si>
    <t>RT-0459</t>
  </si>
  <si>
    <t>RT-0460</t>
  </si>
  <si>
    <t>RT-0461</t>
  </si>
  <si>
    <t>RT-0462</t>
  </si>
  <si>
    <t>RT-0463</t>
  </si>
  <si>
    <t>RT-0464</t>
  </si>
  <si>
    <t>RT-0465</t>
  </si>
  <si>
    <t>RT-0466</t>
  </si>
  <si>
    <t>RT-0467</t>
  </si>
  <si>
    <t>RT-0468</t>
  </si>
  <si>
    <t>RT-0469</t>
  </si>
  <si>
    <t>RT-0470</t>
  </si>
  <si>
    <t>RT-0471</t>
  </si>
  <si>
    <t>RT-0472</t>
  </si>
  <si>
    <t>RT-0473</t>
  </si>
  <si>
    <t>RT-0474</t>
  </si>
  <si>
    <t>RT-0475</t>
  </si>
  <si>
    <t>RT-0476</t>
  </si>
  <si>
    <t>RT-0477</t>
  </si>
  <si>
    <t>RT-0478</t>
  </si>
  <si>
    <t>RT-0479</t>
  </si>
  <si>
    <t>RT-0480</t>
  </si>
  <si>
    <t>RT-0481</t>
  </si>
  <si>
    <t>RT-0482</t>
  </si>
  <si>
    <t>RT-0483</t>
  </si>
  <si>
    <t>RT-0484</t>
  </si>
  <si>
    <t>RT-0485</t>
  </si>
  <si>
    <t>RT-0486</t>
  </si>
  <si>
    <t>RT-0487</t>
  </si>
  <si>
    <t>RT-0488</t>
  </si>
  <si>
    <t>RT-0489</t>
  </si>
  <si>
    <t>RT-0490</t>
  </si>
  <si>
    <t>RT-0491</t>
  </si>
  <si>
    <t>RT-0492</t>
  </si>
  <si>
    <t>RT-0493</t>
  </si>
  <si>
    <t>RT-0494</t>
  </si>
  <si>
    <t>RT-0495</t>
  </si>
  <si>
    <t>RT-0496</t>
  </si>
  <si>
    <t>RT-0497</t>
  </si>
  <si>
    <t>RT-0498</t>
  </si>
  <si>
    <t>RT-0499</t>
  </si>
  <si>
    <t>RT-0500</t>
  </si>
  <si>
    <t>TOTAL PROFIT</t>
  </si>
  <si>
    <t>Total Margin</t>
  </si>
  <si>
    <t>Sum of Sales</t>
  </si>
  <si>
    <t>Row Labels</t>
  </si>
  <si>
    <t>Grand Total</t>
  </si>
  <si>
    <t>Sum of Profit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</si>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</sst>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6" x14ac:knownFonts="1">
    <font>
      <sz val="11"/>
      <color theme="1"/>
      <name val="Calibri"/>
      <family val="2"/>
      <scheme val="minor"/>
    </font>
    <font>
      <sz val="11"/>
      <color theme="1"/>
      <name val="Calibri"/>
      <family val="2"/>
      <scheme val="minor"/>
    </font>
    <font>
      <b/>
      <sz val="12"/>
      <color theme="0"/>
      <name val="Calibri"/>
      <family val="2"/>
      <scheme val="minor"/>
    </font>
    <font>
      <sz val="16"/>
      <color rgb="FF00B0F0"/>
      <name val="Calibri"/>
      <family val="2"/>
      <scheme val="minor"/>
    </font>
    <font>
      <b/>
      <sz val="24"/>
      <color rgb="FFFFFF00"/>
      <name val="Calibri"/>
      <family val="2"/>
      <scheme val="minor"/>
    </font>
    <font>
      <sz val="14"/>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Alignment="1">
      <alignment horizontal="left"/>
    </xf>
    <xf numFmtId="0" fontId="0" fillId="0" borderId="0" xfId="0" applyNumberFormat="1"/>
    <xf numFmtId="14" fontId="0" fillId="0" borderId="0" xfId="0" applyNumberFormat="1"/>
    <xf numFmtId="169" fontId="3" fillId="3" borderId="1" xfId="0" applyNumberFormat="1" applyFont="1" applyFill="1" applyBorder="1" applyAlignment="1">
      <alignment horizontal="center" vertical="center"/>
    </xf>
    <xf numFmtId="9" fontId="3" fillId="3" borderId="1" xfId="1" applyFont="1" applyFill="1" applyBorder="1" applyAlignment="1">
      <alignment horizontal="center" vertical="center"/>
    </xf>
    <xf numFmtId="0" fontId="0" fillId="0" borderId="0" xfId="0" pivotButton="1"/>
    <xf numFmtId="0" fontId="2" fillId="2" borderId="2" xfId="0" applyFont="1" applyFill="1" applyBorder="1" applyAlignment="1">
      <alignment horizontal="center"/>
    </xf>
    <xf numFmtId="0" fontId="0" fillId="0" borderId="1" xfId="0" applyBorder="1"/>
    <xf numFmtId="0" fontId="5" fillId="0" borderId="1" xfId="0" applyFont="1" applyBorder="1" applyAlignment="1">
      <alignment horizontal="center" vertical="center"/>
    </xf>
    <xf numFmtId="0" fontId="4" fillId="2" borderId="1" xfId="0" applyFont="1" applyFill="1" applyBorder="1" applyAlignment="1">
      <alignment horizontal="center"/>
    </xf>
  </cellXfs>
  <cellStyles count="2">
    <cellStyle name="Normal" xfId="0" builtinId="0"/>
    <cellStyle name="Percent" xfId="1" builtinId="5"/>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analysis.xlsx]Dashboard_Final!PivotTable1</c:name>
    <c:fmtId val="3"/>
  </c:pivotSource>
  <c:chart>
    <c:title>
      <c:tx>
        <c:rich>
          <a:bodyPr rot="0" spcFirstLastPara="1" vertOverflow="ellipsis" vert="horz" wrap="square" anchor="ctr" anchorCtr="1"/>
          <a:lstStyle/>
          <a:p>
            <a:pPr>
              <a:defRPr sz="1400" b="1" i="0" u="none" strike="noStrike" kern="1200" cap="none" spc="0" baseline="0">
                <a:ln/>
                <a:solidFill>
                  <a:schemeClr val="tx1"/>
                </a:solidFill>
                <a:effectLst/>
                <a:latin typeface="+mn-lt"/>
                <a:ea typeface="+mn-ea"/>
                <a:cs typeface="+mn-cs"/>
              </a:defRPr>
            </a:pPr>
            <a:r>
              <a:rPr lang="en-US" b="1" cap="none" spc="0">
                <a:ln/>
                <a:solidFill>
                  <a:schemeClr val="tx1"/>
                </a:solidFill>
                <a:effectLst/>
              </a:rPr>
              <a:t>Total Sales of Region</a:t>
            </a: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_);\(&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_);\(&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_);\(&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2004163704267"/>
          <c:y val="0.35652414887644024"/>
          <c:w val="0.88027995836295736"/>
          <c:h val="0.56401232396726952"/>
        </c:manualLayout>
      </c:layout>
      <c:barChart>
        <c:barDir val="col"/>
        <c:grouping val="clustered"/>
        <c:varyColors val="0"/>
        <c:ser>
          <c:idx val="0"/>
          <c:order val="0"/>
          <c:tx>
            <c:strRef>
              <c:f>Dashboard_Final!$I$8</c:f>
              <c:strCache>
                <c:ptCount val="1"/>
                <c:pt idx="0">
                  <c:v>Total</c:v>
                </c:pt>
              </c:strCache>
            </c:strRef>
          </c:tx>
          <c:spPr>
            <a:solidFill>
              <a:schemeClr val="accent1"/>
            </a:solidFill>
            <a:ln>
              <a:noFill/>
            </a:ln>
            <a:effectLst/>
          </c:spPr>
          <c:invertIfNegative val="0"/>
          <c:dLbls>
            <c:numFmt formatCode="&quot;₹&quot;#,##0_);\(&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Dashboard_Final!$H$9:$H$14</c:f>
              <c:strCache>
                <c:ptCount val="5"/>
                <c:pt idx="0">
                  <c:v>Central</c:v>
                </c:pt>
                <c:pt idx="1">
                  <c:v>East</c:v>
                </c:pt>
                <c:pt idx="2">
                  <c:v>North</c:v>
                </c:pt>
                <c:pt idx="3">
                  <c:v>South</c:v>
                </c:pt>
                <c:pt idx="4">
                  <c:v>West</c:v>
                </c:pt>
              </c:strCache>
            </c:strRef>
          </c:cat>
          <c:val>
            <c:numRef>
              <c:f>Dashboard_Final!$I$9:$I$14</c:f>
              <c:numCache>
                <c:formatCode>General</c:formatCode>
                <c:ptCount val="5"/>
                <c:pt idx="0">
                  <c:v>1215646.5</c:v>
                </c:pt>
                <c:pt idx="1">
                  <c:v>1707099.5</c:v>
                </c:pt>
                <c:pt idx="2">
                  <c:v>1095532</c:v>
                </c:pt>
                <c:pt idx="3">
                  <c:v>1083920</c:v>
                </c:pt>
                <c:pt idx="4">
                  <c:v>1067269</c:v>
                </c:pt>
              </c:numCache>
            </c:numRef>
          </c:val>
          <c:extLst>
            <c:ext xmlns:c16="http://schemas.microsoft.com/office/drawing/2014/chart" uri="{C3380CC4-5D6E-409C-BE32-E72D297353CC}">
              <c16:uniqueId val="{00000000-4DEF-4962-882E-D73B97383C04}"/>
            </c:ext>
          </c:extLst>
        </c:ser>
        <c:dLbls>
          <c:showLegendKey val="0"/>
          <c:showVal val="0"/>
          <c:showCatName val="0"/>
          <c:showSerName val="0"/>
          <c:showPercent val="0"/>
          <c:showBubbleSize val="0"/>
        </c:dLbls>
        <c:gapWidth val="219"/>
        <c:overlap val="-27"/>
        <c:axId val="50307792"/>
        <c:axId val="50301136"/>
      </c:barChart>
      <c:catAx>
        <c:axId val="503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1136"/>
        <c:crosses val="autoZero"/>
        <c:auto val="1"/>
        <c:lblAlgn val="ctr"/>
        <c:lblOffset val="100"/>
        <c:noMultiLvlLbl val="0"/>
      </c:catAx>
      <c:valAx>
        <c:axId val="503011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07792"/>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analysis.xlsx]Dashboard_Final!PivotTable2</c:name>
    <c:fmtId val="12"/>
  </c:pivotSource>
  <c:chart>
    <c:title>
      <c:tx>
        <c:rich>
          <a:bodyPr rot="0" spcFirstLastPara="1" vertOverflow="ellipsis" vert="horz" wrap="square" anchor="ctr" anchorCtr="1"/>
          <a:lstStyle/>
          <a:p>
            <a:pPr>
              <a:defRPr sz="1400" b="1" i="0" u="none" strike="noStrike" kern="1200" cap="none" spc="0" baseline="0">
                <a:ln/>
                <a:solidFill>
                  <a:schemeClr val="tx1"/>
                </a:solidFill>
                <a:effectLst/>
                <a:latin typeface="+mn-lt"/>
                <a:ea typeface="+mn-ea"/>
                <a:cs typeface="+mn-cs"/>
              </a:defRPr>
            </a:pPr>
            <a:r>
              <a:rPr lang="en-US" sz="1400" b="1" cap="none" spc="0">
                <a:ln/>
                <a:solidFill>
                  <a:schemeClr val="tx1"/>
                </a:solidFill>
                <a:effectLst/>
              </a:rPr>
              <a:t>Total Profit of Region</a:t>
            </a: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Dashboard_Final!$K$8</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Dashboard_Final!$J$9:$J$14</c:f>
              <c:strCache>
                <c:ptCount val="5"/>
                <c:pt idx="0">
                  <c:v>Central</c:v>
                </c:pt>
                <c:pt idx="1">
                  <c:v>East</c:v>
                </c:pt>
                <c:pt idx="2">
                  <c:v>North</c:v>
                </c:pt>
                <c:pt idx="3">
                  <c:v>South</c:v>
                </c:pt>
                <c:pt idx="4">
                  <c:v>West</c:v>
                </c:pt>
              </c:strCache>
            </c:strRef>
          </c:cat>
          <c:val>
            <c:numRef>
              <c:f>Dashboard_Final!$K$9:$K$14</c:f>
              <c:numCache>
                <c:formatCode>General</c:formatCode>
                <c:ptCount val="5"/>
                <c:pt idx="0">
                  <c:v>341076.5</c:v>
                </c:pt>
                <c:pt idx="1">
                  <c:v>426414.5</c:v>
                </c:pt>
                <c:pt idx="2">
                  <c:v>282647</c:v>
                </c:pt>
                <c:pt idx="3">
                  <c:v>297420</c:v>
                </c:pt>
                <c:pt idx="4">
                  <c:v>294879</c:v>
                </c:pt>
              </c:numCache>
            </c:numRef>
          </c:val>
          <c:extLst>
            <c:ext xmlns:c16="http://schemas.microsoft.com/office/drawing/2014/chart" uri="{C3380CC4-5D6E-409C-BE32-E72D297353CC}">
              <c16:uniqueId val="{00000000-1762-48E5-8921-B66162CA3E57}"/>
            </c:ext>
          </c:extLst>
        </c:ser>
        <c:dLbls>
          <c:showLegendKey val="0"/>
          <c:showVal val="0"/>
          <c:showCatName val="0"/>
          <c:showSerName val="0"/>
          <c:showPercent val="0"/>
          <c:showBubbleSize val="0"/>
        </c:dLbls>
        <c:gapWidth val="219"/>
        <c:overlap val="-27"/>
        <c:axId val="40733856"/>
        <c:axId val="40730944"/>
      </c:barChart>
      <c:catAx>
        <c:axId val="4073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0944"/>
        <c:crosses val="autoZero"/>
        <c:auto val="1"/>
        <c:lblAlgn val="ctr"/>
        <c:lblOffset val="100"/>
        <c:noMultiLvlLbl val="0"/>
      </c:catAx>
      <c:valAx>
        <c:axId val="40730944"/>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Bookshelf</c:v>
                </c:pt>
                <c:pt idx="1">
                  <c:v>Desk</c:v>
                </c:pt>
                <c:pt idx="2">
                  <c:v>Filing Cabinet</c:v>
                </c:pt>
                <c:pt idx="3">
                  <c:v>Monitor</c:v>
                </c:pt>
                <c:pt idx="4">
                  <c:v>Office Chair</c:v>
                </c:pt>
              </c:strCache>
            </c:strRef>
          </c:cat>
          <c:val>
            <c:numRef>
              <c:f>Sheet5!$B$4:$B$9</c:f>
              <c:numCache>
                <c:formatCode>General</c:formatCode>
                <c:ptCount val="5"/>
                <c:pt idx="0">
                  <c:v>574140</c:v>
                </c:pt>
                <c:pt idx="1">
                  <c:v>1275425</c:v>
                </c:pt>
                <c:pt idx="2">
                  <c:v>663520</c:v>
                </c:pt>
                <c:pt idx="3">
                  <c:v>1254000</c:v>
                </c:pt>
                <c:pt idx="4">
                  <c:v>762290</c:v>
                </c:pt>
              </c:numCache>
            </c:numRef>
          </c:val>
          <c:extLst>
            <c:ext xmlns:c16="http://schemas.microsoft.com/office/drawing/2014/chart" uri="{C3380CC4-5D6E-409C-BE32-E72D297353CC}">
              <c16:uniqueId val="{00000000-F34A-47EA-8BB9-3BD505724FB4}"/>
            </c:ext>
          </c:extLst>
        </c:ser>
        <c:dLbls>
          <c:showLegendKey val="0"/>
          <c:showVal val="0"/>
          <c:showCatName val="0"/>
          <c:showSerName val="0"/>
          <c:showPercent val="0"/>
          <c:showBubbleSize val="0"/>
        </c:dLbls>
        <c:gapWidth val="182"/>
        <c:axId val="940432496"/>
        <c:axId val="940433328"/>
      </c:barChart>
      <c:catAx>
        <c:axId val="94043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3328"/>
        <c:crosses val="autoZero"/>
        <c:auto val="1"/>
        <c:lblAlgn val="ctr"/>
        <c:lblOffset val="100"/>
        <c:noMultiLvlLbl val="0"/>
      </c:catAx>
      <c:valAx>
        <c:axId val="94043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3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Products by Profit</a:t>
            </a:r>
            <a:endParaRPr lang="en-US"/>
          </a:p>
        </c:rich>
      </c:tx>
      <c:overlay val="0"/>
      <c:spPr>
        <a:noFill/>
        <a:ln>
          <a:solidFill>
            <a:schemeClr val="tx1">
              <a:lumMod val="65000"/>
              <a:lumOff val="3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Desk</c:v>
                </c:pt>
                <c:pt idx="1">
                  <c:v>Monitor</c:v>
                </c:pt>
                <c:pt idx="2">
                  <c:v>Office Chair</c:v>
                </c:pt>
                <c:pt idx="3">
                  <c:v>Filing Cabinet</c:v>
                </c:pt>
                <c:pt idx="4">
                  <c:v>Bookshelf</c:v>
                </c:pt>
              </c:strCache>
            </c:strRef>
          </c:cat>
          <c:val>
            <c:numRef>
              <c:f>Sheet6!$B$4:$B$9</c:f>
              <c:numCache>
                <c:formatCode>General</c:formatCode>
                <c:ptCount val="5"/>
                <c:pt idx="0">
                  <c:v>267925</c:v>
                </c:pt>
                <c:pt idx="1">
                  <c:v>205200</c:v>
                </c:pt>
                <c:pt idx="2">
                  <c:v>186290</c:v>
                </c:pt>
                <c:pt idx="3">
                  <c:v>172120</c:v>
                </c:pt>
                <c:pt idx="4">
                  <c:v>165240</c:v>
                </c:pt>
              </c:numCache>
            </c:numRef>
          </c:val>
          <c:extLst>
            <c:ext xmlns:c16="http://schemas.microsoft.com/office/drawing/2014/chart" uri="{C3380CC4-5D6E-409C-BE32-E72D297353CC}">
              <c16:uniqueId val="{00000000-16E0-4ADB-A0D9-E1E649708614}"/>
            </c:ext>
          </c:extLst>
        </c:ser>
        <c:dLbls>
          <c:showLegendKey val="0"/>
          <c:showVal val="0"/>
          <c:showCatName val="0"/>
          <c:showSerName val="0"/>
          <c:showPercent val="0"/>
          <c:showBubbleSize val="0"/>
        </c:dLbls>
        <c:gapWidth val="150"/>
        <c:axId val="43057888"/>
        <c:axId val="43057056"/>
      </c:barChart>
      <c:catAx>
        <c:axId val="4305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57056"/>
        <c:crosses val="autoZero"/>
        <c:auto val="1"/>
        <c:lblAlgn val="ctr"/>
        <c:lblOffset val="100"/>
        <c:noMultiLvlLbl val="0"/>
      </c:catAx>
      <c:valAx>
        <c:axId val="4305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5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analysis.xlsx]Sheet4!PivotTable5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&amp;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Sales</c:v>
                </c:pt>
              </c:strCache>
            </c:strRef>
          </c:tx>
          <c:spPr>
            <a:ln w="28575" cap="rnd">
              <a:solidFill>
                <a:schemeClr val="accent1"/>
              </a:solidFill>
              <a:round/>
            </a:ln>
            <a:effectLst/>
          </c:spPr>
          <c:marker>
            <c:symbol val="none"/>
          </c:marker>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F1-487C-9EDB-5C96F2CB9E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Electronics</c:v>
                </c:pt>
                <c:pt idx="1">
                  <c:v>Furniture</c:v>
                </c:pt>
                <c:pt idx="2">
                  <c:v>Home &amp; Kitchen</c:v>
                </c:pt>
                <c:pt idx="3">
                  <c:v>Office Supplies</c:v>
                </c:pt>
              </c:strCache>
            </c:strRef>
          </c:cat>
          <c:val>
            <c:numRef>
              <c:f>Sheet4!$B$4:$B$8</c:f>
              <c:numCache>
                <c:formatCode>General</c:formatCode>
                <c:ptCount val="4"/>
                <c:pt idx="0">
                  <c:v>2070890</c:v>
                </c:pt>
                <c:pt idx="1">
                  <c:v>3466775</c:v>
                </c:pt>
                <c:pt idx="2">
                  <c:v>438367.5</c:v>
                </c:pt>
                <c:pt idx="3">
                  <c:v>193434.5</c:v>
                </c:pt>
              </c:numCache>
            </c:numRef>
          </c:val>
          <c:smooth val="0"/>
          <c:extLst>
            <c:ext xmlns:c16="http://schemas.microsoft.com/office/drawing/2014/chart" uri="{C3380CC4-5D6E-409C-BE32-E72D297353CC}">
              <c16:uniqueId val="{00000000-87F1-487C-9EDB-5C96F2CB9EFD}"/>
            </c:ext>
          </c:extLst>
        </c:ser>
        <c:ser>
          <c:idx val="1"/>
          <c:order val="1"/>
          <c:tx>
            <c:strRef>
              <c:f>Sheet4!$C$3</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Electronics</c:v>
                </c:pt>
                <c:pt idx="1">
                  <c:v>Furniture</c:v>
                </c:pt>
                <c:pt idx="2">
                  <c:v>Home &amp; Kitchen</c:v>
                </c:pt>
                <c:pt idx="3">
                  <c:v>Office Supplies</c:v>
                </c:pt>
              </c:strCache>
            </c:strRef>
          </c:cat>
          <c:val>
            <c:numRef>
              <c:f>Sheet4!$C$4:$C$8</c:f>
              <c:numCache>
                <c:formatCode>General</c:formatCode>
                <c:ptCount val="4"/>
                <c:pt idx="0">
                  <c:v>510300</c:v>
                </c:pt>
                <c:pt idx="1">
                  <c:v>870135</c:v>
                </c:pt>
                <c:pt idx="2">
                  <c:v>175147.5</c:v>
                </c:pt>
                <c:pt idx="3">
                  <c:v>86854.5</c:v>
                </c:pt>
              </c:numCache>
            </c:numRef>
          </c:val>
          <c:smooth val="0"/>
          <c:extLst>
            <c:ext xmlns:c16="http://schemas.microsoft.com/office/drawing/2014/chart" uri="{C3380CC4-5D6E-409C-BE32-E72D297353CC}">
              <c16:uniqueId val="{00000001-87F1-487C-9EDB-5C96F2CB9EFD}"/>
            </c:ext>
          </c:extLst>
        </c:ser>
        <c:dLbls>
          <c:showLegendKey val="0"/>
          <c:showVal val="0"/>
          <c:showCatName val="0"/>
          <c:showSerName val="0"/>
          <c:showPercent val="0"/>
          <c:showBubbleSize val="0"/>
        </c:dLbls>
        <c:smooth val="0"/>
        <c:axId val="50294064"/>
        <c:axId val="50299888"/>
      </c:lineChart>
      <c:catAx>
        <c:axId val="502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9888"/>
        <c:crosses val="autoZero"/>
        <c:auto val="1"/>
        <c:lblAlgn val="ctr"/>
        <c:lblOffset val="100"/>
        <c:noMultiLvlLbl val="0"/>
      </c:catAx>
      <c:valAx>
        <c:axId val="5029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9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400" b="0" i="0" u="none" strike="noStrike" baseline="0"/>
              <a:t>Monthly Sales &amp;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565411.5</c:v>
                </c:pt>
                <c:pt idx="1">
                  <c:v>566675</c:v>
                </c:pt>
                <c:pt idx="2">
                  <c:v>558793</c:v>
                </c:pt>
                <c:pt idx="3">
                  <c:v>563832</c:v>
                </c:pt>
                <c:pt idx="4">
                  <c:v>391115.5</c:v>
                </c:pt>
                <c:pt idx="5">
                  <c:v>657327.5</c:v>
                </c:pt>
                <c:pt idx="6">
                  <c:v>295796.5</c:v>
                </c:pt>
                <c:pt idx="7">
                  <c:v>743092</c:v>
                </c:pt>
                <c:pt idx="8">
                  <c:v>269494</c:v>
                </c:pt>
                <c:pt idx="9">
                  <c:v>433435.5</c:v>
                </c:pt>
                <c:pt idx="10">
                  <c:v>488181</c:v>
                </c:pt>
                <c:pt idx="11">
                  <c:v>636313.5</c:v>
                </c:pt>
              </c:numCache>
            </c:numRef>
          </c:val>
          <c:smooth val="0"/>
          <c:extLst>
            <c:ext xmlns:c16="http://schemas.microsoft.com/office/drawing/2014/chart" uri="{C3380CC4-5D6E-409C-BE32-E72D297353CC}">
              <c16:uniqueId val="{00000000-DE3C-490B-8140-AAD21F0A8A27}"/>
            </c:ext>
          </c:extLst>
        </c:ser>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Sheet3!$C$4:$C$16</c:f>
              <c:numCache>
                <c:formatCode>General</c:formatCode>
                <c:ptCount val="12"/>
                <c:pt idx="0">
                  <c:v>164456.5</c:v>
                </c:pt>
                <c:pt idx="1">
                  <c:v>139715</c:v>
                </c:pt>
                <c:pt idx="2">
                  <c:v>160443</c:v>
                </c:pt>
                <c:pt idx="3">
                  <c:v>121942</c:v>
                </c:pt>
                <c:pt idx="4">
                  <c:v>116840.5</c:v>
                </c:pt>
                <c:pt idx="5">
                  <c:v>166007.5</c:v>
                </c:pt>
                <c:pt idx="6">
                  <c:v>96771.5</c:v>
                </c:pt>
                <c:pt idx="7">
                  <c:v>180322</c:v>
                </c:pt>
                <c:pt idx="8">
                  <c:v>86139</c:v>
                </c:pt>
                <c:pt idx="9">
                  <c:v>129000.5</c:v>
                </c:pt>
                <c:pt idx="10">
                  <c:v>122661</c:v>
                </c:pt>
                <c:pt idx="11">
                  <c:v>158138.5</c:v>
                </c:pt>
              </c:numCache>
            </c:numRef>
          </c:val>
          <c:smooth val="0"/>
          <c:extLst>
            <c:ext xmlns:c16="http://schemas.microsoft.com/office/drawing/2014/chart" uri="{C3380CC4-5D6E-409C-BE32-E72D297353CC}">
              <c16:uniqueId val="{00000001-DE3C-490B-8140-AAD21F0A8A27}"/>
            </c:ext>
          </c:extLst>
        </c:ser>
        <c:dLbls>
          <c:showLegendKey val="0"/>
          <c:showVal val="0"/>
          <c:showCatName val="0"/>
          <c:showSerName val="0"/>
          <c:showPercent val="0"/>
          <c:showBubbleSize val="0"/>
        </c:dLbls>
        <c:smooth val="0"/>
        <c:axId val="43063712"/>
        <c:axId val="43057472"/>
      </c:lineChart>
      <c:catAx>
        <c:axId val="430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57472"/>
        <c:crosses val="autoZero"/>
        <c:auto val="1"/>
        <c:lblAlgn val="ctr"/>
        <c:lblOffset val="100"/>
        <c:noMultiLvlLbl val="0"/>
      </c:catAx>
      <c:valAx>
        <c:axId val="4305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6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3004</xdr:rowOff>
    </xdr:from>
    <xdr:to>
      <xdr:col>2</xdr:col>
      <xdr:colOff>10733</xdr:colOff>
      <xdr:row>12</xdr:row>
      <xdr:rowOff>32196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7D2A86A-F36C-4FF5-BE4D-02500A1C5C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11342"/>
              <a:ext cx="1674254" cy="1681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6</xdr:row>
      <xdr:rowOff>0</xdr:rowOff>
    </xdr:from>
    <xdr:to>
      <xdr:col>9</xdr:col>
      <xdr:colOff>32197</xdr:colOff>
      <xdr:row>21</xdr:row>
      <xdr:rowOff>171719</xdr:rowOff>
    </xdr:to>
    <xdr:graphicFrame macro="">
      <xdr:nvGraphicFramePr>
        <xdr:cNvPr id="8" name="Chart 7">
          <a:extLst>
            <a:ext uri="{FF2B5EF4-FFF2-40B4-BE49-F238E27FC236}">
              <a16:creationId xmlns:a16="http://schemas.microsoft.com/office/drawing/2014/main" id="{CF9C4D95-8577-41B7-BCEE-A5E2D6460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601015</xdr:colOff>
      <xdr:row>6</xdr:row>
      <xdr:rowOff>1</xdr:rowOff>
    </xdr:from>
    <xdr:to>
      <xdr:col>17</xdr:col>
      <xdr:colOff>1</xdr:colOff>
      <xdr:row>21</xdr:row>
      <xdr:rowOff>171718</xdr:rowOff>
    </xdr:to>
    <xdr:graphicFrame macro="">
      <xdr:nvGraphicFramePr>
        <xdr:cNvPr id="9" name="Chart 8">
          <a:extLst>
            <a:ext uri="{FF2B5EF4-FFF2-40B4-BE49-F238E27FC236}">
              <a16:creationId xmlns:a16="http://schemas.microsoft.com/office/drawing/2014/main" id="{6391247A-81CB-4052-834D-B193D06B1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22</xdr:row>
      <xdr:rowOff>0</xdr:rowOff>
    </xdr:from>
    <xdr:to>
      <xdr:col>7</xdr:col>
      <xdr:colOff>32197</xdr:colOff>
      <xdr:row>37</xdr:row>
      <xdr:rowOff>10734</xdr:rowOff>
    </xdr:to>
    <xdr:graphicFrame macro="">
      <xdr:nvGraphicFramePr>
        <xdr:cNvPr id="13" name="Chart 12">
          <a:extLst>
            <a:ext uri="{FF2B5EF4-FFF2-40B4-BE49-F238E27FC236}">
              <a16:creationId xmlns:a16="http://schemas.microsoft.com/office/drawing/2014/main" id="{E69FC3CE-81C7-4B30-A6A6-9CEC7F015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21465</xdr:colOff>
      <xdr:row>21</xdr:row>
      <xdr:rowOff>182450</xdr:rowOff>
    </xdr:from>
    <xdr:to>
      <xdr:col>11</xdr:col>
      <xdr:colOff>601014</xdr:colOff>
      <xdr:row>37</xdr:row>
      <xdr:rowOff>10732</xdr:rowOff>
    </xdr:to>
    <xdr:graphicFrame macro="">
      <xdr:nvGraphicFramePr>
        <xdr:cNvPr id="14" name="Chart 13">
          <a:extLst>
            <a:ext uri="{FF2B5EF4-FFF2-40B4-BE49-F238E27FC236}">
              <a16:creationId xmlns:a16="http://schemas.microsoft.com/office/drawing/2014/main" id="{1470EA28-C35E-4AF3-B583-C375187EE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22</xdr:row>
      <xdr:rowOff>1</xdr:rowOff>
    </xdr:from>
    <xdr:to>
      <xdr:col>17</xdr:col>
      <xdr:colOff>0</xdr:colOff>
      <xdr:row>37</xdr:row>
      <xdr:rowOff>10733</xdr:rowOff>
    </xdr:to>
    <xdr:graphicFrame macro="">
      <xdr:nvGraphicFramePr>
        <xdr:cNvPr id="15" name="Chart 14">
          <a:extLst>
            <a:ext uri="{FF2B5EF4-FFF2-40B4-BE49-F238E27FC236}">
              <a16:creationId xmlns:a16="http://schemas.microsoft.com/office/drawing/2014/main" id="{7E70BF1A-7662-4DB4-B11E-DAC5CEBFD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12</xdr:row>
      <xdr:rowOff>13737</xdr:rowOff>
    </xdr:from>
    <xdr:to>
      <xdr:col>2</xdr:col>
      <xdr:colOff>10733</xdr:colOff>
      <xdr:row>32</xdr:row>
      <xdr:rowOff>10732</xdr:rowOff>
    </xdr:to>
    <mc:AlternateContent xmlns:mc="http://schemas.openxmlformats.org/markup-compatibility/2006">
      <mc:Choice xmlns:a14="http://schemas.microsoft.com/office/drawing/2010/main" Requires="a14">
        <xdr:graphicFrame macro="">
          <xdr:nvGraphicFramePr>
            <xdr:cNvPr id="18" name="Months">
              <a:extLst>
                <a:ext uri="{FF2B5EF4-FFF2-40B4-BE49-F238E27FC236}">
                  <a16:creationId xmlns:a16="http://schemas.microsoft.com/office/drawing/2014/main" id="{E1031732-0560-4C66-A6D9-9105EF3C33C2}"/>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0" y="2374864"/>
              <a:ext cx="1674254" cy="3646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327660</xdr:colOff>
      <xdr:row>0</xdr:row>
      <xdr:rowOff>7620</xdr:rowOff>
    </xdr:from>
    <xdr:to>
      <xdr:col>14</xdr:col>
      <xdr:colOff>365760</xdr:colOff>
      <xdr:row>21</xdr:row>
      <xdr:rowOff>68580</xdr:rowOff>
    </xdr:to>
    <xdr:graphicFrame macro="">
      <xdr:nvGraphicFramePr>
        <xdr:cNvPr id="2" name="Chart 1">
          <a:extLst>
            <a:ext uri="{FF2B5EF4-FFF2-40B4-BE49-F238E27FC236}">
              <a16:creationId xmlns:a16="http://schemas.microsoft.com/office/drawing/2014/main" id="{3DB3DD42-4C23-4817-B25C-1B20593AE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0.36414</cdr:x>
      <cdr:y>0.0502</cdr:y>
    </cdr:from>
    <cdr:to>
      <cdr:x>0.52966</cdr:x>
      <cdr:y>0.29116</cdr:y>
    </cdr:to>
    <cdr:sp macro="" textlink="">
      <cdr:nvSpPr>
        <cdr:cNvPr id="2" name="TextBox 1">
          <a:extLst xmlns:a="http://schemas.openxmlformats.org/drawingml/2006/main">
            <a:ext uri="{FF2B5EF4-FFF2-40B4-BE49-F238E27FC236}">
              <a16:creationId xmlns:a16="http://schemas.microsoft.com/office/drawing/2014/main" id="{22AEDCD2-E819-443B-9FF7-C670A8A856EC}"/>
            </a:ext>
          </a:extLst>
        </cdr:cNvPr>
        <cdr:cNvSpPr txBox="1"/>
      </cdr:nvSpPr>
      <cdr:spPr>
        <a:xfrm xmlns:a="http://schemas.openxmlformats.org/drawingml/2006/main">
          <a:off x="2011680" y="1905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kshirsagar" refreshedDate="46316.802637037035" createdVersion="7" refreshedVersion="7" minRefreshableVersion="3" recordCount="500" xr:uid="{4BAD5FE1-5A69-4AD5-B7AA-D0E3C94B5558}">
  <cacheSource type="worksheet">
    <worksheetSource name="Retail_Sales_Analysis_Dataset__3"/>
  </cacheSource>
  <cacheFields count="11">
    <cacheField name="Order ID" numFmtId="0">
      <sharedItems count="500">
        <s v="RT-0001"/>
        <s v="RT-0002"/>
        <s v="RT-0003"/>
        <s v="RT-0004"/>
        <s v="RT-0005"/>
        <s v="RT-0006"/>
        <s v="RT-0007"/>
        <s v="RT-0008"/>
        <s v="RT-0009"/>
        <s v="RT-0010"/>
        <s v="RT-0011"/>
        <s v="RT-0012"/>
        <s v="RT-0013"/>
        <s v="RT-0014"/>
        <s v="RT-0015"/>
        <s v="RT-0016"/>
        <s v="RT-0017"/>
        <s v="RT-0018"/>
        <s v="RT-0019"/>
        <s v="RT-0020"/>
        <s v="RT-0021"/>
        <s v="RT-0022"/>
        <s v="RT-0023"/>
        <s v="RT-0024"/>
        <s v="RT-0025"/>
        <s v="RT-0026"/>
        <s v="RT-0027"/>
        <s v="RT-0028"/>
        <s v="RT-0029"/>
        <s v="RT-0030"/>
        <s v="RT-0031"/>
        <s v="RT-0032"/>
        <s v="RT-0033"/>
        <s v="RT-0034"/>
        <s v="RT-0035"/>
        <s v="RT-0036"/>
        <s v="RT-0037"/>
        <s v="RT-0038"/>
        <s v="RT-0039"/>
        <s v="RT-0040"/>
        <s v="RT-0041"/>
        <s v="RT-0042"/>
        <s v="RT-0043"/>
        <s v="RT-0044"/>
        <s v="RT-0045"/>
        <s v="RT-0046"/>
        <s v="RT-0047"/>
        <s v="RT-0048"/>
        <s v="RT-0049"/>
        <s v="RT-0050"/>
        <s v="RT-0051"/>
        <s v="RT-0052"/>
        <s v="RT-0053"/>
        <s v="RT-0054"/>
        <s v="RT-0055"/>
        <s v="RT-0056"/>
        <s v="RT-0057"/>
        <s v="RT-0058"/>
        <s v="RT-0059"/>
        <s v="RT-0060"/>
        <s v="RT-0061"/>
        <s v="RT-0062"/>
        <s v="RT-0063"/>
        <s v="RT-0064"/>
        <s v="RT-0065"/>
        <s v="RT-0066"/>
        <s v="RT-0067"/>
        <s v="RT-0068"/>
        <s v="RT-0069"/>
        <s v="RT-0070"/>
        <s v="RT-0071"/>
        <s v="RT-0072"/>
        <s v="RT-0073"/>
        <s v="RT-0074"/>
        <s v="RT-0075"/>
        <s v="RT-0076"/>
        <s v="RT-0077"/>
        <s v="RT-0078"/>
        <s v="RT-0079"/>
        <s v="RT-0080"/>
        <s v="RT-0081"/>
        <s v="RT-0082"/>
        <s v="RT-0083"/>
        <s v="RT-0084"/>
        <s v="RT-0085"/>
        <s v="RT-0086"/>
        <s v="RT-0087"/>
        <s v="RT-0088"/>
        <s v="RT-0089"/>
        <s v="RT-0090"/>
        <s v="RT-0091"/>
        <s v="RT-0092"/>
        <s v="RT-0093"/>
        <s v="RT-0094"/>
        <s v="RT-0095"/>
        <s v="RT-0096"/>
        <s v="RT-0097"/>
        <s v="RT-0098"/>
        <s v="RT-0099"/>
        <s v="RT-0100"/>
        <s v="RT-0101"/>
        <s v="RT-0102"/>
        <s v="RT-0103"/>
        <s v="RT-0104"/>
        <s v="RT-0105"/>
        <s v="RT-0106"/>
        <s v="RT-0107"/>
        <s v="RT-0108"/>
        <s v="RT-0109"/>
        <s v="RT-0110"/>
        <s v="RT-0111"/>
        <s v="RT-0112"/>
        <s v="RT-0113"/>
        <s v="RT-0114"/>
        <s v="RT-0115"/>
        <s v="RT-0116"/>
        <s v="RT-0117"/>
        <s v="RT-0118"/>
        <s v="RT-0119"/>
        <s v="RT-0120"/>
        <s v="RT-0121"/>
        <s v="RT-0122"/>
        <s v="RT-0123"/>
        <s v="RT-0124"/>
        <s v="RT-0125"/>
        <s v="RT-0126"/>
        <s v="RT-0127"/>
        <s v="RT-0128"/>
        <s v="RT-0129"/>
        <s v="RT-0130"/>
        <s v="RT-0131"/>
        <s v="RT-0132"/>
        <s v="RT-0133"/>
        <s v="RT-0134"/>
        <s v="RT-0135"/>
        <s v="RT-0136"/>
        <s v="RT-0137"/>
        <s v="RT-0138"/>
        <s v="RT-0139"/>
        <s v="RT-0140"/>
        <s v="RT-0141"/>
        <s v="RT-0142"/>
        <s v="RT-0143"/>
        <s v="RT-0144"/>
        <s v="RT-0145"/>
        <s v="RT-0146"/>
        <s v="RT-0147"/>
        <s v="RT-0148"/>
        <s v="RT-0149"/>
        <s v="RT-0150"/>
        <s v="RT-0151"/>
        <s v="RT-0152"/>
        <s v="RT-0153"/>
        <s v="RT-0154"/>
        <s v="RT-0155"/>
        <s v="RT-0156"/>
        <s v="RT-0157"/>
        <s v="RT-0158"/>
        <s v="RT-0159"/>
        <s v="RT-0160"/>
        <s v="RT-0161"/>
        <s v="RT-0162"/>
        <s v="RT-0163"/>
        <s v="RT-0164"/>
        <s v="RT-0165"/>
        <s v="RT-0166"/>
        <s v="RT-0167"/>
        <s v="RT-0168"/>
        <s v="RT-0169"/>
        <s v="RT-0170"/>
        <s v="RT-0171"/>
        <s v="RT-0172"/>
        <s v="RT-0173"/>
        <s v="RT-0174"/>
        <s v="RT-0175"/>
        <s v="RT-0176"/>
        <s v="RT-0177"/>
        <s v="RT-0178"/>
        <s v="RT-0179"/>
        <s v="RT-0180"/>
        <s v="RT-0181"/>
        <s v="RT-0182"/>
        <s v="RT-0183"/>
        <s v="RT-0184"/>
        <s v="RT-0185"/>
        <s v="RT-0186"/>
        <s v="RT-0187"/>
        <s v="RT-0188"/>
        <s v="RT-0189"/>
        <s v="RT-0190"/>
        <s v="RT-0191"/>
        <s v="RT-0192"/>
        <s v="RT-0193"/>
        <s v="RT-0194"/>
        <s v="RT-0195"/>
        <s v="RT-0196"/>
        <s v="RT-0197"/>
        <s v="RT-0198"/>
        <s v="RT-0199"/>
        <s v="RT-0200"/>
        <s v="RT-0201"/>
        <s v="RT-0202"/>
        <s v="RT-0203"/>
        <s v="RT-0204"/>
        <s v="RT-0205"/>
        <s v="RT-0206"/>
        <s v="RT-0207"/>
        <s v="RT-0208"/>
        <s v="RT-0209"/>
        <s v="RT-0210"/>
        <s v="RT-0211"/>
        <s v="RT-0212"/>
        <s v="RT-0213"/>
        <s v="RT-0214"/>
        <s v="RT-0215"/>
        <s v="RT-0216"/>
        <s v="RT-0217"/>
        <s v="RT-0218"/>
        <s v="RT-0219"/>
        <s v="RT-0220"/>
        <s v="RT-0221"/>
        <s v="RT-0222"/>
        <s v="RT-0223"/>
        <s v="RT-0224"/>
        <s v="RT-0225"/>
        <s v="RT-0226"/>
        <s v="RT-0227"/>
        <s v="RT-0228"/>
        <s v="RT-0229"/>
        <s v="RT-0230"/>
        <s v="RT-0231"/>
        <s v="RT-0232"/>
        <s v="RT-0233"/>
        <s v="RT-0234"/>
        <s v="RT-0235"/>
        <s v="RT-0236"/>
        <s v="RT-0237"/>
        <s v="RT-0238"/>
        <s v="RT-0239"/>
        <s v="RT-0240"/>
        <s v="RT-0241"/>
        <s v="RT-0242"/>
        <s v="RT-0243"/>
        <s v="RT-0244"/>
        <s v="RT-0245"/>
        <s v="RT-0246"/>
        <s v="RT-0247"/>
        <s v="RT-0248"/>
        <s v="RT-0249"/>
        <s v="RT-0250"/>
        <s v="RT-0251"/>
        <s v="RT-0252"/>
        <s v="RT-0253"/>
        <s v="RT-0254"/>
        <s v="RT-0255"/>
        <s v="RT-0256"/>
        <s v="RT-0257"/>
        <s v="RT-0258"/>
        <s v="RT-0259"/>
        <s v="RT-0260"/>
        <s v="RT-0261"/>
        <s v="RT-0262"/>
        <s v="RT-0263"/>
        <s v="RT-0264"/>
        <s v="RT-0265"/>
        <s v="RT-0266"/>
        <s v="RT-0267"/>
        <s v="RT-0268"/>
        <s v="RT-0269"/>
        <s v="RT-0270"/>
        <s v="RT-0271"/>
        <s v="RT-0272"/>
        <s v="RT-0273"/>
        <s v="RT-0274"/>
        <s v="RT-0275"/>
        <s v="RT-0276"/>
        <s v="RT-0277"/>
        <s v="RT-0278"/>
        <s v="RT-0279"/>
        <s v="RT-0280"/>
        <s v="RT-0281"/>
        <s v="RT-0282"/>
        <s v="RT-0283"/>
        <s v="RT-0284"/>
        <s v="RT-0285"/>
        <s v="RT-0286"/>
        <s v="RT-0287"/>
        <s v="RT-0288"/>
        <s v="RT-0289"/>
        <s v="RT-0290"/>
        <s v="RT-0291"/>
        <s v="RT-0292"/>
        <s v="RT-0293"/>
        <s v="RT-0294"/>
        <s v="RT-0295"/>
        <s v="RT-0296"/>
        <s v="RT-0297"/>
        <s v="RT-0298"/>
        <s v="RT-0299"/>
        <s v="RT-0300"/>
        <s v="RT-0301"/>
        <s v="RT-0302"/>
        <s v="RT-0303"/>
        <s v="RT-0304"/>
        <s v="RT-0305"/>
        <s v="RT-0306"/>
        <s v="RT-0307"/>
        <s v="RT-0308"/>
        <s v="RT-0309"/>
        <s v="RT-0310"/>
        <s v="RT-0311"/>
        <s v="RT-0312"/>
        <s v="RT-0313"/>
        <s v="RT-0314"/>
        <s v="RT-0315"/>
        <s v="RT-0316"/>
        <s v="RT-0317"/>
        <s v="RT-0318"/>
        <s v="RT-0319"/>
        <s v="RT-0320"/>
        <s v="RT-0321"/>
        <s v="RT-0322"/>
        <s v="RT-0323"/>
        <s v="RT-0324"/>
        <s v="RT-0325"/>
        <s v="RT-0326"/>
        <s v="RT-0327"/>
        <s v="RT-0328"/>
        <s v="RT-0329"/>
        <s v="RT-0330"/>
        <s v="RT-0331"/>
        <s v="RT-0332"/>
        <s v="RT-0333"/>
        <s v="RT-0334"/>
        <s v="RT-0335"/>
        <s v="RT-0336"/>
        <s v="RT-0337"/>
        <s v="RT-0338"/>
        <s v="RT-0339"/>
        <s v="RT-0340"/>
        <s v="RT-0341"/>
        <s v="RT-0342"/>
        <s v="RT-0343"/>
        <s v="RT-0344"/>
        <s v="RT-0345"/>
        <s v="RT-0346"/>
        <s v="RT-0347"/>
        <s v="RT-0348"/>
        <s v="RT-0349"/>
        <s v="RT-0350"/>
        <s v="RT-0351"/>
        <s v="RT-0352"/>
        <s v="RT-0353"/>
        <s v="RT-0354"/>
        <s v="RT-0355"/>
        <s v="RT-0356"/>
        <s v="RT-0357"/>
        <s v="RT-0358"/>
        <s v="RT-0359"/>
        <s v="RT-0360"/>
        <s v="RT-0361"/>
        <s v="RT-0362"/>
        <s v="RT-0363"/>
        <s v="RT-0364"/>
        <s v="RT-0365"/>
        <s v="RT-0366"/>
        <s v="RT-0367"/>
        <s v="RT-0368"/>
        <s v="RT-0369"/>
        <s v="RT-0370"/>
        <s v="RT-0371"/>
        <s v="RT-0372"/>
        <s v="RT-0373"/>
        <s v="RT-0374"/>
        <s v="RT-0375"/>
        <s v="RT-0376"/>
        <s v="RT-0377"/>
        <s v="RT-0378"/>
        <s v="RT-0379"/>
        <s v="RT-0380"/>
        <s v="RT-0381"/>
        <s v="RT-0382"/>
        <s v="RT-0383"/>
        <s v="RT-0384"/>
        <s v="RT-0385"/>
        <s v="RT-0386"/>
        <s v="RT-0387"/>
        <s v="RT-0388"/>
        <s v="RT-0389"/>
        <s v="RT-0390"/>
        <s v="RT-0391"/>
        <s v="RT-0392"/>
        <s v="RT-0393"/>
        <s v="RT-0394"/>
        <s v="RT-0395"/>
        <s v="RT-0396"/>
        <s v="RT-0397"/>
        <s v="RT-0398"/>
        <s v="RT-0399"/>
        <s v="RT-0400"/>
        <s v="RT-0401"/>
        <s v="RT-0402"/>
        <s v="RT-0403"/>
        <s v="RT-0404"/>
        <s v="RT-0405"/>
        <s v="RT-0406"/>
        <s v="RT-0407"/>
        <s v="RT-0408"/>
        <s v="RT-0409"/>
        <s v="RT-0410"/>
        <s v="RT-0411"/>
        <s v="RT-0412"/>
        <s v="RT-0413"/>
        <s v="RT-0414"/>
        <s v="RT-0415"/>
        <s v="RT-0416"/>
        <s v="RT-0417"/>
        <s v="RT-0418"/>
        <s v="RT-0419"/>
        <s v="RT-0420"/>
        <s v="RT-0421"/>
        <s v="RT-0422"/>
        <s v="RT-0423"/>
        <s v="RT-0424"/>
        <s v="RT-0425"/>
        <s v="RT-0426"/>
        <s v="RT-0427"/>
        <s v="RT-0428"/>
        <s v="RT-0429"/>
        <s v="RT-0430"/>
        <s v="RT-0431"/>
        <s v="RT-0432"/>
        <s v="RT-0433"/>
        <s v="RT-0434"/>
        <s v="RT-0435"/>
        <s v="RT-0436"/>
        <s v="RT-0437"/>
        <s v="RT-0438"/>
        <s v="RT-0439"/>
        <s v="RT-0440"/>
        <s v="RT-0441"/>
        <s v="RT-0442"/>
        <s v="RT-0443"/>
        <s v="RT-0444"/>
        <s v="RT-0445"/>
        <s v="RT-0446"/>
        <s v="RT-0447"/>
        <s v="RT-0448"/>
        <s v="RT-0449"/>
        <s v="RT-0450"/>
        <s v="RT-0451"/>
        <s v="RT-0452"/>
        <s v="RT-0453"/>
        <s v="RT-0454"/>
        <s v="RT-0455"/>
        <s v="RT-0456"/>
        <s v="RT-0457"/>
        <s v="RT-0458"/>
        <s v="RT-0459"/>
        <s v="RT-0460"/>
        <s v="RT-0461"/>
        <s v="RT-0462"/>
        <s v="RT-0463"/>
        <s v="RT-0464"/>
        <s v="RT-0465"/>
        <s v="RT-0466"/>
        <s v="RT-0467"/>
        <s v="RT-0468"/>
        <s v="RT-0469"/>
        <s v="RT-0470"/>
        <s v="RT-0471"/>
        <s v="RT-0472"/>
        <s v="RT-0473"/>
        <s v="RT-0474"/>
        <s v="RT-0475"/>
        <s v="RT-0476"/>
        <s v="RT-0477"/>
        <s v="RT-0478"/>
        <s v="RT-0479"/>
        <s v="RT-0480"/>
        <s v="RT-0481"/>
        <s v="RT-0482"/>
        <s v="RT-0483"/>
        <s v="RT-0484"/>
        <s v="RT-0485"/>
        <s v="RT-0486"/>
        <s v="RT-0487"/>
        <s v="RT-0488"/>
        <s v="RT-0489"/>
        <s v="RT-0490"/>
        <s v="RT-0491"/>
        <s v="RT-0492"/>
        <s v="RT-0493"/>
        <s v="RT-0494"/>
        <s v="RT-0495"/>
        <s v="RT-0496"/>
        <s v="RT-0497"/>
        <s v="RT-0498"/>
        <s v="RT-0499"/>
        <s v="RT-0500"/>
      </sharedItems>
    </cacheField>
    <cacheField name="Order Date" numFmtId="14">
      <sharedItems containsSemiMixedTypes="0" containsNonDate="0" containsDate="1" containsString="0" minDate="2025-01-01T00:00:00" maxDate="2026-01-01T00:00:00" count="279">
        <d v="2025-06-06T00:00:00"/>
        <d v="2025-10-17T00:00:00"/>
        <d v="2025-04-11T00:00:00"/>
        <d v="2025-07-03T00:00:00"/>
        <d v="2025-10-26T00:00:00"/>
        <d v="2025-03-24T00:00:00"/>
        <d v="2025-10-16T00:00:00"/>
        <d v="2025-03-30T00:00:00"/>
        <d v="2025-08-17T00:00:00"/>
        <d v="2025-09-11T00:00:00"/>
        <d v="2025-11-18T00:00:00"/>
        <d v="2025-11-13T00:00:00"/>
        <d v="2025-02-17T00:00:00"/>
        <d v="2025-07-11T00:00:00"/>
        <d v="2025-07-05T00:00:00"/>
        <d v="2025-08-05T00:00:00"/>
        <d v="2025-05-15T00:00:00"/>
        <d v="2025-04-28T00:00:00"/>
        <d v="2025-09-21T00:00:00"/>
        <d v="2025-03-25T00:00:00"/>
        <d v="2025-02-10T00:00:00"/>
        <d v="2025-03-06T00:00:00"/>
        <d v="2025-10-10T00:00:00"/>
        <d v="2025-06-17T00:00:00"/>
        <d v="2025-05-29T00:00:00"/>
        <d v="2025-03-22T00:00:00"/>
        <d v="2025-01-02T00:00:00"/>
        <d v="2025-01-30T00:00:00"/>
        <d v="2025-01-26T00:00:00"/>
        <d v="2025-07-04T00:00:00"/>
        <d v="2025-02-19T00:00:00"/>
        <d v="2025-03-08T00:00:00"/>
        <d v="2025-01-24T00:00:00"/>
        <d v="2025-11-02T00:00:00"/>
        <d v="2025-02-13T00:00:00"/>
        <d v="2025-11-16T00:00:00"/>
        <d v="2025-03-01T00:00:00"/>
        <d v="2025-10-03T00:00:00"/>
        <d v="2025-02-20T00:00:00"/>
        <d v="2025-03-09T00:00:00"/>
        <d v="2025-12-21T00:00:00"/>
        <d v="2025-06-09T00:00:00"/>
        <d v="2025-01-20T00:00:00"/>
        <d v="2025-05-20T00:00:00"/>
        <d v="2025-04-16T00:00:00"/>
        <d v="2025-12-18T00:00:00"/>
        <d v="2025-03-16T00:00:00"/>
        <d v="2025-06-10T00:00:00"/>
        <d v="2025-05-08T00:00:00"/>
        <d v="2025-08-06T00:00:00"/>
        <d v="2025-01-28T00:00:00"/>
        <d v="2025-10-31T00:00:00"/>
        <d v="2025-07-24T00:00:00"/>
        <d v="2025-11-01T00:00:00"/>
        <d v="2025-07-12T00:00:00"/>
        <d v="2025-08-31T00:00:00"/>
        <d v="2025-10-28T00:00:00"/>
        <d v="2025-03-28T00:00:00"/>
        <d v="2025-01-18T00:00:00"/>
        <d v="2025-09-29T00:00:00"/>
        <d v="2025-12-05T00:00:00"/>
        <d v="2025-01-13T00:00:00"/>
        <d v="2025-05-26T00:00:00"/>
        <d v="2025-01-12T00:00:00"/>
        <d v="2025-08-09T00:00:00"/>
        <d v="2025-01-15T00:00:00"/>
        <d v="2025-11-19T00:00:00"/>
        <d v="2025-05-28T00:00:00"/>
        <d v="2025-10-02T00:00:00"/>
        <d v="2025-05-27T00:00:00"/>
        <d v="2025-03-29T00:00:00"/>
        <d v="2025-11-08T00:00:00"/>
        <d v="2025-09-05T00:00:00"/>
        <d v="2025-06-25T00:00:00"/>
        <d v="2025-04-30T00:00:00"/>
        <d v="2025-10-23T00:00:00"/>
        <d v="2025-08-10T00:00:00"/>
        <d v="2025-08-20T00:00:00"/>
        <d v="2025-05-05T00:00:00"/>
        <d v="2025-02-22T00:00:00"/>
        <d v="2025-09-18T00:00:00"/>
        <d v="2025-04-29T00:00:00"/>
        <d v="2025-11-26T00:00:00"/>
        <d v="2025-10-13T00:00:00"/>
        <d v="2025-08-23T00:00:00"/>
        <d v="2025-06-18T00:00:00"/>
        <d v="2025-04-04T00:00:00"/>
        <d v="2025-09-27T00:00:00"/>
        <d v="2025-01-17T00:00:00"/>
        <d v="2025-04-05T00:00:00"/>
        <d v="2025-01-31T00:00:00"/>
        <d v="2025-06-01T00:00:00"/>
        <d v="2025-05-04T00:00:00"/>
        <d v="2025-07-09T00:00:00"/>
        <d v="2025-10-30T00:00:00"/>
        <d v="2025-12-20T00:00:00"/>
        <d v="2025-11-07T00:00:00"/>
        <d v="2025-08-04T00:00:00"/>
        <d v="2025-01-14T00:00:00"/>
        <d v="2025-05-24T00:00:00"/>
        <d v="2025-12-12T00:00:00"/>
        <d v="2025-06-19T00:00:00"/>
        <d v="2025-06-23T00:00:00"/>
        <d v="2025-07-26T00:00:00"/>
        <d v="2025-02-14T00:00:00"/>
        <d v="2025-09-17T00:00:00"/>
        <d v="2025-09-28T00:00:00"/>
        <d v="2025-12-14T00:00:00"/>
        <d v="2025-12-25T00:00:00"/>
        <d v="2025-10-29T00:00:00"/>
        <d v="2025-03-19T00:00:00"/>
        <d v="2025-06-14T00:00:00"/>
        <d v="2025-07-31T00:00:00"/>
        <d v="2025-11-10T00:00:00"/>
        <d v="2025-02-07T00:00:00"/>
        <d v="2025-08-14T00:00:00"/>
        <d v="2025-06-15T00:00:00"/>
        <d v="2025-12-23T00:00:00"/>
        <d v="2025-12-27T00:00:00"/>
        <d v="2025-07-13T00:00:00"/>
        <d v="2025-06-27T00:00:00"/>
        <d v="2025-01-29T00:00:00"/>
        <d v="2025-12-17T00:00:00"/>
        <d v="2025-02-18T00:00:00"/>
        <d v="2025-08-25T00:00:00"/>
        <d v="2025-12-22T00:00:00"/>
        <d v="2025-05-19T00:00:00"/>
        <d v="2025-02-08T00:00:00"/>
        <d v="2025-03-18T00:00:00"/>
        <d v="2025-12-31T00:00:00"/>
        <d v="2025-08-24T00:00:00"/>
        <d v="2025-12-10T00:00:00"/>
        <d v="2025-01-22T00:00:00"/>
        <d v="2025-12-29T00:00:00"/>
        <d v="2025-08-03T00:00:00"/>
        <d v="2025-10-05T00:00:00"/>
        <d v="2025-02-05T00:00:00"/>
        <d v="2025-02-23T00:00:00"/>
        <d v="2025-09-01T00:00:00"/>
        <d v="2025-08-27T00:00:00"/>
        <d v="2025-07-25T00:00:00"/>
        <d v="2025-01-05T00:00:00"/>
        <d v="2025-04-24T00:00:00"/>
        <d v="2025-05-02T00:00:00"/>
        <d v="2025-08-02T00:00:00"/>
        <d v="2025-10-18T00:00:00"/>
        <d v="2025-05-09T00:00:00"/>
        <d v="2025-01-21T00:00:00"/>
        <d v="2025-07-19T00:00:00"/>
        <d v="2025-02-04T00:00:00"/>
        <d v="2025-07-18T00:00:00"/>
        <d v="2025-05-07T00:00:00"/>
        <d v="2025-02-26T00:00:00"/>
        <d v="2025-03-21T00:00:00"/>
        <d v="2025-09-03T00:00:00"/>
        <d v="2025-12-30T00:00:00"/>
        <d v="2025-07-20T00:00:00"/>
        <d v="2025-01-25T00:00:00"/>
        <d v="2025-04-07T00:00:00"/>
        <d v="2025-07-15T00:00:00"/>
        <d v="2025-01-04T00:00:00"/>
        <d v="2025-09-12T00:00:00"/>
        <d v="2025-02-25T00:00:00"/>
        <d v="2025-07-17T00:00:00"/>
        <d v="2025-11-03T00:00:00"/>
        <d v="2025-04-23T00:00:00"/>
        <d v="2025-07-10T00:00:00"/>
        <d v="2025-06-20T00:00:00"/>
        <d v="2025-10-27T00:00:00"/>
        <d v="2025-10-24T00:00:00"/>
        <d v="2025-09-04T00:00:00"/>
        <d v="2025-09-22T00:00:00"/>
        <d v="2025-10-20T00:00:00"/>
        <d v="2025-01-07T00:00:00"/>
        <d v="2025-07-01T00:00:00"/>
        <d v="2025-05-18T00:00:00"/>
        <d v="2025-06-22T00:00:00"/>
        <d v="2025-08-01T00:00:00"/>
        <d v="2025-12-19T00:00:00"/>
        <d v="2025-05-11T00:00:00"/>
        <d v="2025-05-31T00:00:00"/>
        <d v="2025-09-06T00:00:00"/>
        <d v="2025-08-12T00:00:00"/>
        <d v="2025-12-04T00:00:00"/>
        <d v="2025-09-19T00:00:00"/>
        <d v="2025-05-06T00:00:00"/>
        <d v="2025-03-02T00:00:00"/>
        <d v="2025-03-26T00:00:00"/>
        <d v="2025-02-27T00:00:00"/>
        <d v="2025-08-13T00:00:00"/>
        <d v="2025-03-12T00:00:00"/>
        <d v="2025-01-08T00:00:00"/>
        <d v="2025-09-25T00:00:00"/>
        <d v="2025-11-15T00:00:00"/>
        <d v="2025-11-23T00:00:00"/>
        <d v="2025-04-21T00:00:00"/>
        <d v="2025-11-20T00:00:00"/>
        <d v="2025-05-16T00:00:00"/>
        <d v="2025-07-30T00:00:00"/>
        <d v="2025-04-19T00:00:00"/>
        <d v="2025-11-17T00:00:00"/>
        <d v="2025-07-29T00:00:00"/>
        <d v="2025-08-19T00:00:00"/>
        <d v="2025-10-06T00:00:00"/>
        <d v="2025-03-15T00:00:00"/>
        <d v="2025-09-16T00:00:00"/>
        <d v="2025-04-06T00:00:00"/>
        <d v="2025-07-06T00:00:00"/>
        <d v="2025-04-26T00:00:00"/>
        <d v="2025-12-11T00:00:00"/>
        <d v="2025-07-23T00:00:00"/>
        <d v="2025-08-30T00:00:00"/>
        <d v="2025-01-01T00:00:00"/>
        <d v="2025-07-22T00:00:00"/>
        <d v="2025-03-10T00:00:00"/>
        <d v="2025-08-22T00:00:00"/>
        <d v="2025-12-08T00:00:00"/>
        <d v="2025-01-27T00:00:00"/>
        <d v="2025-10-04T00:00:00"/>
        <d v="2025-12-03T00:00:00"/>
        <d v="2025-05-21T00:00:00"/>
        <d v="2025-06-24T00:00:00"/>
        <d v="2025-09-13T00:00:00"/>
        <d v="2025-08-15T00:00:00"/>
        <d v="2025-10-08T00:00:00"/>
        <d v="2025-04-10T00:00:00"/>
        <d v="2025-04-03T00:00:00"/>
        <d v="2025-01-10T00:00:00"/>
        <d v="2025-10-22T00:00:00"/>
        <d v="2025-02-09T00:00:00"/>
        <d v="2025-02-06T00:00:00"/>
        <d v="2025-11-09T00:00:00"/>
        <d v="2025-02-16T00:00:00"/>
        <d v="2025-09-14T00:00:00"/>
        <d v="2025-06-16T00:00:00"/>
        <d v="2025-06-05T00:00:00"/>
        <d v="2025-11-27T00:00:00"/>
        <d v="2025-11-05T00:00:00"/>
        <d v="2025-06-02T00:00:00"/>
        <d v="2025-11-22T00:00:00"/>
        <d v="2025-03-23T00:00:00"/>
        <d v="2025-12-06T00:00:00"/>
        <d v="2025-05-22T00:00:00"/>
        <d v="2025-12-16T00:00:00"/>
        <d v="2025-02-12T00:00:00"/>
        <d v="2025-11-30T00:00:00"/>
        <d v="2025-08-08T00:00:00"/>
        <d v="2025-09-15T00:00:00"/>
        <d v="2025-05-25T00:00:00"/>
        <d v="2025-06-30T00:00:00"/>
        <d v="2025-08-11T00:00:00"/>
        <d v="2025-07-07T00:00:00"/>
        <d v="2025-01-16T00:00:00"/>
        <d v="2025-12-09T00:00:00"/>
        <d v="2025-08-18T00:00:00"/>
        <d v="2025-06-03T00:00:00"/>
        <d v="2025-10-01T00:00:00"/>
        <d v="2025-02-15T00:00:00"/>
        <d v="2025-03-20T00:00:00"/>
        <d v="2025-03-11T00:00:00"/>
        <d v="2025-06-11T00:00:00"/>
        <d v="2025-03-27T00:00:00"/>
        <d v="2025-06-08T00:00:00"/>
        <d v="2025-01-06T00:00:00"/>
        <d v="2025-04-17T00:00:00"/>
        <d v="2025-10-25T00:00:00"/>
        <d v="2025-04-09T00:00:00"/>
        <d v="2025-04-25T00:00:00"/>
        <d v="2025-04-13T00:00:00"/>
        <d v="2025-03-17T00:00:00"/>
        <d v="2025-07-21T00:00:00"/>
        <d v="2025-11-21T00:00:00"/>
        <d v="2025-06-26T00:00:00"/>
        <d v="2025-10-11T00:00:00"/>
        <d v="2025-07-08T00:00:00"/>
        <d v="2025-07-14T00:00:00"/>
        <d v="2025-08-26T00:00:00"/>
        <d v="2025-07-28T00:00:00"/>
        <d v="2025-04-14T00:00:00"/>
      </sharedItems>
      <fieldGroup par="10"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Region" numFmtId="0">
      <sharedItems count="5">
        <s v="North"/>
        <s v="Central"/>
        <s v="West"/>
        <s v="South"/>
        <s v="East"/>
      </sharedItems>
    </cacheField>
    <cacheField name="Category" numFmtId="0">
      <sharedItems count="4">
        <s v="Home &amp; Kitchen"/>
        <s v="Office Supplies"/>
        <s v="Electronics"/>
        <s v="Furniture"/>
      </sharedItems>
    </cacheField>
    <cacheField name="Product" numFmtId="0">
      <sharedItems count="20">
        <s v="Water Bottle"/>
        <s v="Notebook Pack"/>
        <s v="Monitor"/>
        <s v="Pen Set"/>
        <s v="Wireless Mouse"/>
        <s v="Office Chair"/>
        <s v="Lamp"/>
        <s v="Lunch Box"/>
        <s v="USB Hub"/>
        <s v="Storage Box"/>
        <s v="Keyboard"/>
        <s v="Desk"/>
        <s v="Mug Set"/>
        <s v="Folders"/>
        <s v="Filing Cabinet"/>
        <s v="Bookshelf"/>
        <s v="Printer Paper"/>
        <s v="Kitchen Scale"/>
        <s v="Stapler"/>
        <s v="Headphones"/>
      </sharedItems>
    </cacheField>
    <cacheField name="Quantity" numFmtId="0">
      <sharedItems containsSemiMixedTypes="0" containsString="0" containsNumber="1" containsInteger="1" minValue="1" maxValue="12"/>
    </cacheField>
    <cacheField name="Unit Price" numFmtId="0">
      <sharedItems containsSemiMixedTypes="0" containsString="0" containsNumber="1" minValue="135" maxValue="9500"/>
    </cacheField>
    <cacheField name="Sales" numFmtId="0">
      <sharedItems containsSemiMixedTypes="0" containsString="0" containsNumber="1" minValue="135" maxValue="108300"/>
    </cacheField>
    <cacheField name="Cost" numFmtId="0">
      <sharedItems containsSemiMixedTypes="0" containsString="0" containsNumber="1" containsInteger="1" minValue="65" maxValue="91200"/>
    </cacheField>
    <cacheField name="Profit" numFmtId="0">
      <sharedItems containsSemiMixedTypes="0" containsString="0" containsNumber="1" minValue="70" maxValue="24000"/>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057035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4"/>
    <n v="427.5"/>
    <n v="1710"/>
    <n v="960"/>
    <n v="750"/>
  </r>
  <r>
    <x v="1"/>
    <x v="1"/>
    <x v="0"/>
    <x v="1"/>
    <x v="1"/>
    <n v="5"/>
    <n v="237.5"/>
    <n v="1187.5"/>
    <n v="650"/>
    <n v="537.5"/>
  </r>
  <r>
    <x v="2"/>
    <x v="2"/>
    <x v="1"/>
    <x v="2"/>
    <x v="2"/>
    <n v="11"/>
    <n v="8550"/>
    <n v="94050"/>
    <n v="83600"/>
    <n v="10450"/>
  </r>
  <r>
    <x v="3"/>
    <x v="3"/>
    <x v="2"/>
    <x v="1"/>
    <x v="3"/>
    <n v="9"/>
    <n v="162"/>
    <n v="1458"/>
    <n v="720"/>
    <n v="738"/>
  </r>
  <r>
    <x v="4"/>
    <x v="4"/>
    <x v="2"/>
    <x v="2"/>
    <x v="4"/>
    <n v="10"/>
    <n v="650"/>
    <n v="6500"/>
    <n v="3800"/>
    <n v="2700"/>
  </r>
  <r>
    <x v="5"/>
    <x v="5"/>
    <x v="2"/>
    <x v="1"/>
    <x v="3"/>
    <n v="11"/>
    <n v="162"/>
    <n v="1782"/>
    <n v="880"/>
    <n v="902"/>
  </r>
  <r>
    <x v="6"/>
    <x v="6"/>
    <x v="1"/>
    <x v="2"/>
    <x v="4"/>
    <n v="7"/>
    <n v="650"/>
    <n v="4550"/>
    <n v="2660"/>
    <n v="1890"/>
  </r>
  <r>
    <x v="7"/>
    <x v="7"/>
    <x v="1"/>
    <x v="3"/>
    <x v="5"/>
    <n v="9"/>
    <n v="6200"/>
    <n v="55800"/>
    <n v="40500"/>
    <n v="15300"/>
  </r>
  <r>
    <x v="8"/>
    <x v="8"/>
    <x v="2"/>
    <x v="3"/>
    <x v="6"/>
    <n v="9"/>
    <n v="1045"/>
    <n v="9405"/>
    <n v="5580"/>
    <n v="3825"/>
  </r>
  <r>
    <x v="9"/>
    <x v="9"/>
    <x v="3"/>
    <x v="0"/>
    <x v="7"/>
    <n v="1"/>
    <n v="600"/>
    <n v="600"/>
    <n v="330"/>
    <n v="270"/>
  </r>
  <r>
    <x v="10"/>
    <x v="10"/>
    <x v="0"/>
    <x v="2"/>
    <x v="8"/>
    <n v="7"/>
    <n v="855"/>
    <n v="5985"/>
    <n v="3640"/>
    <n v="2345"/>
  </r>
  <r>
    <x v="11"/>
    <x v="11"/>
    <x v="4"/>
    <x v="0"/>
    <x v="9"/>
    <n v="7"/>
    <n v="630"/>
    <n v="4410"/>
    <n v="2870"/>
    <n v="1540"/>
  </r>
  <r>
    <x v="12"/>
    <x v="12"/>
    <x v="3"/>
    <x v="2"/>
    <x v="10"/>
    <n v="2"/>
    <n v="1200"/>
    <n v="2400"/>
    <n v="1440"/>
    <n v="960"/>
  </r>
  <r>
    <x v="13"/>
    <x v="13"/>
    <x v="3"/>
    <x v="3"/>
    <x v="11"/>
    <n v="3"/>
    <n v="8500"/>
    <n v="25500"/>
    <n v="19500"/>
    <n v="6000"/>
  </r>
  <r>
    <x v="14"/>
    <x v="14"/>
    <x v="2"/>
    <x v="0"/>
    <x v="12"/>
    <n v="5"/>
    <n v="522.5"/>
    <n v="2612.5"/>
    <n v="1500"/>
    <n v="1112.5"/>
  </r>
  <r>
    <x v="15"/>
    <x v="15"/>
    <x v="2"/>
    <x v="0"/>
    <x v="7"/>
    <n v="11"/>
    <n v="570"/>
    <n v="6270"/>
    <n v="3630"/>
    <n v="2640"/>
  </r>
  <r>
    <x v="16"/>
    <x v="16"/>
    <x v="4"/>
    <x v="1"/>
    <x v="13"/>
    <n v="2"/>
    <n v="142.5"/>
    <n v="285"/>
    <n v="130"/>
    <n v="155"/>
  </r>
  <r>
    <x v="17"/>
    <x v="17"/>
    <x v="0"/>
    <x v="2"/>
    <x v="2"/>
    <n v="10"/>
    <n v="8550"/>
    <n v="85500"/>
    <n v="76000"/>
    <n v="9500"/>
  </r>
  <r>
    <x v="18"/>
    <x v="18"/>
    <x v="4"/>
    <x v="3"/>
    <x v="14"/>
    <n v="5"/>
    <n v="5800"/>
    <n v="29000"/>
    <n v="21000"/>
    <n v="8000"/>
  </r>
  <r>
    <x v="19"/>
    <x v="19"/>
    <x v="4"/>
    <x v="2"/>
    <x v="4"/>
    <n v="9"/>
    <n v="650"/>
    <n v="5850"/>
    <n v="3420"/>
    <n v="2430"/>
  </r>
  <r>
    <x v="20"/>
    <x v="20"/>
    <x v="2"/>
    <x v="3"/>
    <x v="14"/>
    <n v="6"/>
    <n v="5800"/>
    <n v="34800"/>
    <n v="25200"/>
    <n v="9600"/>
  </r>
  <r>
    <x v="21"/>
    <x v="21"/>
    <x v="0"/>
    <x v="3"/>
    <x v="14"/>
    <n v="6"/>
    <n v="5800"/>
    <n v="34800"/>
    <n v="25200"/>
    <n v="9600"/>
  </r>
  <r>
    <x v="22"/>
    <x v="22"/>
    <x v="0"/>
    <x v="2"/>
    <x v="2"/>
    <n v="4"/>
    <n v="9500"/>
    <n v="38000"/>
    <n v="30400"/>
    <n v="7600"/>
  </r>
  <r>
    <x v="23"/>
    <x v="23"/>
    <x v="1"/>
    <x v="2"/>
    <x v="2"/>
    <n v="1"/>
    <n v="9500"/>
    <n v="9500"/>
    <n v="7600"/>
    <n v="1900"/>
  </r>
  <r>
    <x v="24"/>
    <x v="12"/>
    <x v="4"/>
    <x v="3"/>
    <x v="15"/>
    <n v="2"/>
    <n v="4200"/>
    <n v="8400"/>
    <n v="5800"/>
    <n v="2600"/>
  </r>
  <r>
    <x v="25"/>
    <x v="24"/>
    <x v="4"/>
    <x v="2"/>
    <x v="8"/>
    <n v="10"/>
    <n v="900"/>
    <n v="9000"/>
    <n v="5200"/>
    <n v="3800"/>
  </r>
  <r>
    <x v="26"/>
    <x v="25"/>
    <x v="2"/>
    <x v="1"/>
    <x v="16"/>
    <n v="1"/>
    <n v="320"/>
    <n v="320"/>
    <n v="210"/>
    <n v="110"/>
  </r>
  <r>
    <x v="27"/>
    <x v="26"/>
    <x v="0"/>
    <x v="2"/>
    <x v="2"/>
    <n v="5"/>
    <n v="9500"/>
    <n v="47500"/>
    <n v="38000"/>
    <n v="9500"/>
  </r>
  <r>
    <x v="28"/>
    <x v="27"/>
    <x v="2"/>
    <x v="3"/>
    <x v="15"/>
    <n v="8"/>
    <n v="4200"/>
    <n v="33600"/>
    <n v="23200"/>
    <n v="10400"/>
  </r>
  <r>
    <x v="29"/>
    <x v="28"/>
    <x v="2"/>
    <x v="0"/>
    <x v="12"/>
    <n v="9"/>
    <n v="550"/>
    <n v="4950"/>
    <n v="2700"/>
    <n v="2250"/>
  </r>
  <r>
    <x v="30"/>
    <x v="29"/>
    <x v="0"/>
    <x v="1"/>
    <x v="16"/>
    <n v="3"/>
    <n v="304"/>
    <n v="912"/>
    <n v="630"/>
    <n v="282"/>
  </r>
  <r>
    <x v="31"/>
    <x v="30"/>
    <x v="1"/>
    <x v="3"/>
    <x v="5"/>
    <n v="11"/>
    <n v="6200"/>
    <n v="68200"/>
    <n v="49500"/>
    <n v="18700"/>
  </r>
  <r>
    <x v="32"/>
    <x v="31"/>
    <x v="0"/>
    <x v="0"/>
    <x v="17"/>
    <n v="1"/>
    <n v="1300"/>
    <n v="1300"/>
    <n v="820"/>
    <n v="480"/>
  </r>
  <r>
    <x v="33"/>
    <x v="32"/>
    <x v="4"/>
    <x v="1"/>
    <x v="16"/>
    <n v="9"/>
    <n v="320"/>
    <n v="2880"/>
    <n v="1890"/>
    <n v="990"/>
  </r>
  <r>
    <x v="34"/>
    <x v="33"/>
    <x v="0"/>
    <x v="2"/>
    <x v="4"/>
    <n v="9"/>
    <n v="650"/>
    <n v="5850"/>
    <n v="3420"/>
    <n v="2430"/>
  </r>
  <r>
    <x v="35"/>
    <x v="34"/>
    <x v="0"/>
    <x v="0"/>
    <x v="0"/>
    <n v="2"/>
    <n v="450"/>
    <n v="900"/>
    <n v="480"/>
    <n v="420"/>
  </r>
  <r>
    <x v="36"/>
    <x v="35"/>
    <x v="3"/>
    <x v="0"/>
    <x v="9"/>
    <n v="7"/>
    <n v="700"/>
    <n v="4900"/>
    <n v="2870"/>
    <n v="2030"/>
  </r>
  <r>
    <x v="37"/>
    <x v="36"/>
    <x v="0"/>
    <x v="0"/>
    <x v="12"/>
    <n v="9"/>
    <n v="550"/>
    <n v="4950"/>
    <n v="2700"/>
    <n v="2250"/>
  </r>
  <r>
    <x v="38"/>
    <x v="37"/>
    <x v="3"/>
    <x v="1"/>
    <x v="13"/>
    <n v="9"/>
    <n v="150"/>
    <n v="1350"/>
    <n v="585"/>
    <n v="765"/>
  </r>
  <r>
    <x v="39"/>
    <x v="38"/>
    <x v="0"/>
    <x v="2"/>
    <x v="2"/>
    <n v="7"/>
    <n v="9025"/>
    <n v="63175"/>
    <n v="53200"/>
    <n v="9975"/>
  </r>
  <r>
    <x v="40"/>
    <x v="39"/>
    <x v="3"/>
    <x v="3"/>
    <x v="6"/>
    <n v="3"/>
    <n v="990"/>
    <n v="2970"/>
    <n v="1860"/>
    <n v="1110"/>
  </r>
  <r>
    <x v="41"/>
    <x v="40"/>
    <x v="0"/>
    <x v="1"/>
    <x v="18"/>
    <n v="7"/>
    <n v="220"/>
    <n v="1540"/>
    <n v="840"/>
    <n v="700"/>
  </r>
  <r>
    <x v="42"/>
    <x v="41"/>
    <x v="4"/>
    <x v="0"/>
    <x v="7"/>
    <n v="3"/>
    <n v="600"/>
    <n v="1800"/>
    <n v="990"/>
    <n v="810"/>
  </r>
  <r>
    <x v="43"/>
    <x v="42"/>
    <x v="2"/>
    <x v="3"/>
    <x v="11"/>
    <n v="7"/>
    <n v="8500"/>
    <n v="59500"/>
    <n v="45500"/>
    <n v="14000"/>
  </r>
  <r>
    <x v="44"/>
    <x v="43"/>
    <x v="1"/>
    <x v="3"/>
    <x v="11"/>
    <n v="6"/>
    <n v="8075"/>
    <n v="48450"/>
    <n v="39000"/>
    <n v="9450"/>
  </r>
  <r>
    <x v="45"/>
    <x v="44"/>
    <x v="2"/>
    <x v="0"/>
    <x v="12"/>
    <n v="1"/>
    <n v="550"/>
    <n v="550"/>
    <n v="300"/>
    <n v="250"/>
  </r>
  <r>
    <x v="46"/>
    <x v="45"/>
    <x v="0"/>
    <x v="2"/>
    <x v="2"/>
    <n v="1"/>
    <n v="9500"/>
    <n v="9500"/>
    <n v="7600"/>
    <n v="1900"/>
  </r>
  <r>
    <x v="47"/>
    <x v="46"/>
    <x v="4"/>
    <x v="0"/>
    <x v="12"/>
    <n v="10"/>
    <n v="550"/>
    <n v="5500"/>
    <n v="3000"/>
    <n v="2500"/>
  </r>
  <r>
    <x v="48"/>
    <x v="47"/>
    <x v="0"/>
    <x v="0"/>
    <x v="7"/>
    <n v="5"/>
    <n v="600"/>
    <n v="3000"/>
    <n v="1650"/>
    <n v="1350"/>
  </r>
  <r>
    <x v="49"/>
    <x v="48"/>
    <x v="1"/>
    <x v="0"/>
    <x v="7"/>
    <n v="8"/>
    <n v="600"/>
    <n v="4800"/>
    <n v="2640"/>
    <n v="2160"/>
  </r>
  <r>
    <x v="50"/>
    <x v="49"/>
    <x v="0"/>
    <x v="1"/>
    <x v="18"/>
    <n v="1"/>
    <n v="220"/>
    <n v="220"/>
    <n v="120"/>
    <n v="100"/>
  </r>
  <r>
    <x v="51"/>
    <x v="50"/>
    <x v="0"/>
    <x v="1"/>
    <x v="3"/>
    <n v="2"/>
    <n v="180"/>
    <n v="360"/>
    <n v="160"/>
    <n v="200"/>
  </r>
  <r>
    <x v="52"/>
    <x v="51"/>
    <x v="0"/>
    <x v="2"/>
    <x v="8"/>
    <n v="1"/>
    <n v="900"/>
    <n v="900"/>
    <n v="520"/>
    <n v="380"/>
  </r>
  <r>
    <x v="53"/>
    <x v="52"/>
    <x v="1"/>
    <x v="1"/>
    <x v="1"/>
    <n v="9"/>
    <n v="237.5"/>
    <n v="2137.5"/>
    <n v="1170"/>
    <n v="967.5"/>
  </r>
  <r>
    <x v="54"/>
    <x v="53"/>
    <x v="3"/>
    <x v="0"/>
    <x v="17"/>
    <n v="3"/>
    <n v="1170"/>
    <n v="3510"/>
    <n v="2460"/>
    <n v="1050"/>
  </r>
  <r>
    <x v="55"/>
    <x v="54"/>
    <x v="0"/>
    <x v="2"/>
    <x v="19"/>
    <n v="1"/>
    <n v="1710"/>
    <n v="1710"/>
    <n v="1150"/>
    <n v="560"/>
  </r>
  <r>
    <x v="56"/>
    <x v="55"/>
    <x v="4"/>
    <x v="1"/>
    <x v="3"/>
    <n v="2"/>
    <n v="180"/>
    <n v="360"/>
    <n v="160"/>
    <n v="200"/>
  </r>
  <r>
    <x v="57"/>
    <x v="6"/>
    <x v="2"/>
    <x v="2"/>
    <x v="4"/>
    <n v="5"/>
    <n v="585"/>
    <n v="2925"/>
    <n v="1900"/>
    <n v="1025"/>
  </r>
  <r>
    <x v="58"/>
    <x v="56"/>
    <x v="0"/>
    <x v="1"/>
    <x v="16"/>
    <n v="7"/>
    <n v="288"/>
    <n v="2016"/>
    <n v="1470"/>
    <n v="546"/>
  </r>
  <r>
    <x v="59"/>
    <x v="57"/>
    <x v="1"/>
    <x v="2"/>
    <x v="2"/>
    <n v="2"/>
    <n v="9500"/>
    <n v="19000"/>
    <n v="15200"/>
    <n v="3800"/>
  </r>
  <r>
    <x v="60"/>
    <x v="58"/>
    <x v="4"/>
    <x v="1"/>
    <x v="13"/>
    <n v="12"/>
    <n v="150"/>
    <n v="1800"/>
    <n v="780"/>
    <n v="1020"/>
  </r>
  <r>
    <x v="61"/>
    <x v="59"/>
    <x v="4"/>
    <x v="3"/>
    <x v="15"/>
    <n v="10"/>
    <n v="4200"/>
    <n v="42000"/>
    <n v="29000"/>
    <n v="13000"/>
  </r>
  <r>
    <x v="62"/>
    <x v="60"/>
    <x v="1"/>
    <x v="0"/>
    <x v="7"/>
    <n v="2"/>
    <n v="570"/>
    <n v="1140"/>
    <n v="660"/>
    <n v="480"/>
  </r>
  <r>
    <x v="63"/>
    <x v="61"/>
    <x v="2"/>
    <x v="3"/>
    <x v="15"/>
    <n v="12"/>
    <n v="4200"/>
    <n v="50400"/>
    <n v="34800"/>
    <n v="15600"/>
  </r>
  <r>
    <x v="64"/>
    <x v="62"/>
    <x v="2"/>
    <x v="2"/>
    <x v="10"/>
    <n v="6"/>
    <n v="1200"/>
    <n v="7200"/>
    <n v="4320"/>
    <n v="2880"/>
  </r>
  <r>
    <x v="65"/>
    <x v="63"/>
    <x v="1"/>
    <x v="1"/>
    <x v="13"/>
    <n v="6"/>
    <n v="150"/>
    <n v="900"/>
    <n v="390"/>
    <n v="510"/>
  </r>
  <r>
    <x v="66"/>
    <x v="64"/>
    <x v="1"/>
    <x v="2"/>
    <x v="4"/>
    <n v="10"/>
    <n v="617.5"/>
    <n v="6175"/>
    <n v="3800"/>
    <n v="2375"/>
  </r>
  <r>
    <x v="67"/>
    <x v="65"/>
    <x v="3"/>
    <x v="3"/>
    <x v="14"/>
    <n v="3"/>
    <n v="5220"/>
    <n v="15660"/>
    <n v="12600"/>
    <n v="3060"/>
  </r>
  <r>
    <x v="68"/>
    <x v="66"/>
    <x v="2"/>
    <x v="2"/>
    <x v="2"/>
    <n v="9"/>
    <n v="8550"/>
    <n v="76950"/>
    <n v="68400"/>
    <n v="8550"/>
  </r>
  <r>
    <x v="69"/>
    <x v="67"/>
    <x v="3"/>
    <x v="1"/>
    <x v="16"/>
    <n v="4"/>
    <n v="320"/>
    <n v="1280"/>
    <n v="840"/>
    <n v="440"/>
  </r>
  <r>
    <x v="70"/>
    <x v="68"/>
    <x v="2"/>
    <x v="2"/>
    <x v="8"/>
    <n v="7"/>
    <n v="855"/>
    <n v="5985"/>
    <n v="3640"/>
    <n v="2345"/>
  </r>
  <r>
    <x v="71"/>
    <x v="49"/>
    <x v="4"/>
    <x v="2"/>
    <x v="19"/>
    <n v="8"/>
    <n v="1620"/>
    <n v="12960"/>
    <n v="9200"/>
    <n v="3760"/>
  </r>
  <r>
    <x v="72"/>
    <x v="69"/>
    <x v="3"/>
    <x v="0"/>
    <x v="12"/>
    <n v="12"/>
    <n v="550"/>
    <n v="6600"/>
    <n v="3600"/>
    <n v="3000"/>
  </r>
  <r>
    <x v="73"/>
    <x v="70"/>
    <x v="0"/>
    <x v="0"/>
    <x v="0"/>
    <n v="6"/>
    <n v="450"/>
    <n v="2700"/>
    <n v="1440"/>
    <n v="1260"/>
  </r>
  <r>
    <x v="74"/>
    <x v="71"/>
    <x v="0"/>
    <x v="0"/>
    <x v="9"/>
    <n v="6"/>
    <n v="700"/>
    <n v="4200"/>
    <n v="2460"/>
    <n v="1740"/>
  </r>
  <r>
    <x v="75"/>
    <x v="11"/>
    <x v="4"/>
    <x v="2"/>
    <x v="4"/>
    <n v="2"/>
    <n v="617.5"/>
    <n v="1235"/>
    <n v="760"/>
    <n v="475"/>
  </r>
  <r>
    <x v="76"/>
    <x v="72"/>
    <x v="1"/>
    <x v="2"/>
    <x v="8"/>
    <n v="2"/>
    <n v="900"/>
    <n v="1800"/>
    <n v="1040"/>
    <n v="760"/>
  </r>
  <r>
    <x v="77"/>
    <x v="73"/>
    <x v="3"/>
    <x v="1"/>
    <x v="16"/>
    <n v="3"/>
    <n v="320"/>
    <n v="960"/>
    <n v="630"/>
    <n v="330"/>
  </r>
  <r>
    <x v="78"/>
    <x v="74"/>
    <x v="4"/>
    <x v="3"/>
    <x v="11"/>
    <n v="9"/>
    <n v="8075"/>
    <n v="72675"/>
    <n v="58500"/>
    <n v="14175"/>
  </r>
  <r>
    <x v="79"/>
    <x v="75"/>
    <x v="4"/>
    <x v="3"/>
    <x v="11"/>
    <n v="11"/>
    <n v="8500"/>
    <n v="93500"/>
    <n v="71500"/>
    <n v="22000"/>
  </r>
  <r>
    <x v="80"/>
    <x v="76"/>
    <x v="2"/>
    <x v="2"/>
    <x v="19"/>
    <n v="7"/>
    <n v="1710"/>
    <n v="11970"/>
    <n v="8050"/>
    <n v="3920"/>
  </r>
  <r>
    <x v="81"/>
    <x v="77"/>
    <x v="3"/>
    <x v="2"/>
    <x v="19"/>
    <n v="5"/>
    <n v="1800"/>
    <n v="9000"/>
    <n v="5750"/>
    <n v="3250"/>
  </r>
  <r>
    <x v="82"/>
    <x v="78"/>
    <x v="2"/>
    <x v="2"/>
    <x v="4"/>
    <n v="12"/>
    <n v="650"/>
    <n v="7800"/>
    <n v="4560"/>
    <n v="3240"/>
  </r>
  <r>
    <x v="83"/>
    <x v="79"/>
    <x v="2"/>
    <x v="2"/>
    <x v="10"/>
    <n v="12"/>
    <n v="1140"/>
    <n v="13680"/>
    <n v="8640"/>
    <n v="5040"/>
  </r>
  <r>
    <x v="84"/>
    <x v="80"/>
    <x v="3"/>
    <x v="2"/>
    <x v="19"/>
    <n v="9"/>
    <n v="1710"/>
    <n v="15390"/>
    <n v="10350"/>
    <n v="5040"/>
  </r>
  <r>
    <x v="85"/>
    <x v="81"/>
    <x v="4"/>
    <x v="3"/>
    <x v="5"/>
    <n v="4"/>
    <n v="6200"/>
    <n v="24800"/>
    <n v="18000"/>
    <n v="6800"/>
  </r>
  <r>
    <x v="86"/>
    <x v="82"/>
    <x v="0"/>
    <x v="3"/>
    <x v="5"/>
    <n v="4"/>
    <n v="6200"/>
    <n v="24800"/>
    <n v="18000"/>
    <n v="6800"/>
  </r>
  <r>
    <x v="87"/>
    <x v="6"/>
    <x v="3"/>
    <x v="0"/>
    <x v="9"/>
    <n v="2"/>
    <n v="630"/>
    <n v="1260"/>
    <n v="820"/>
    <n v="440"/>
  </r>
  <r>
    <x v="88"/>
    <x v="83"/>
    <x v="0"/>
    <x v="1"/>
    <x v="13"/>
    <n v="6"/>
    <n v="135"/>
    <n v="810"/>
    <n v="390"/>
    <n v="420"/>
  </r>
  <r>
    <x v="89"/>
    <x v="84"/>
    <x v="3"/>
    <x v="0"/>
    <x v="9"/>
    <n v="8"/>
    <n v="665"/>
    <n v="5320"/>
    <n v="3280"/>
    <n v="2040"/>
  </r>
  <r>
    <x v="90"/>
    <x v="85"/>
    <x v="0"/>
    <x v="3"/>
    <x v="14"/>
    <n v="4"/>
    <n v="5800"/>
    <n v="23200"/>
    <n v="16800"/>
    <n v="6400"/>
  </r>
  <r>
    <x v="91"/>
    <x v="86"/>
    <x v="4"/>
    <x v="0"/>
    <x v="0"/>
    <n v="4"/>
    <n v="427.5"/>
    <n v="1710"/>
    <n v="960"/>
    <n v="750"/>
  </r>
  <r>
    <x v="92"/>
    <x v="87"/>
    <x v="1"/>
    <x v="3"/>
    <x v="11"/>
    <n v="3"/>
    <n v="8500"/>
    <n v="25500"/>
    <n v="19500"/>
    <n v="6000"/>
  </r>
  <r>
    <x v="93"/>
    <x v="88"/>
    <x v="0"/>
    <x v="1"/>
    <x v="18"/>
    <n v="10"/>
    <n v="220"/>
    <n v="2200"/>
    <n v="1200"/>
    <n v="1000"/>
  </r>
  <r>
    <x v="94"/>
    <x v="89"/>
    <x v="0"/>
    <x v="2"/>
    <x v="19"/>
    <n v="10"/>
    <n v="1620"/>
    <n v="16200"/>
    <n v="11500"/>
    <n v="4700"/>
  </r>
  <r>
    <x v="95"/>
    <x v="90"/>
    <x v="1"/>
    <x v="2"/>
    <x v="10"/>
    <n v="2"/>
    <n v="1200"/>
    <n v="2400"/>
    <n v="1440"/>
    <n v="960"/>
  </r>
  <r>
    <x v="96"/>
    <x v="91"/>
    <x v="0"/>
    <x v="3"/>
    <x v="15"/>
    <n v="11"/>
    <n v="4200"/>
    <n v="46200"/>
    <n v="31900"/>
    <n v="14300"/>
  </r>
  <r>
    <x v="97"/>
    <x v="92"/>
    <x v="4"/>
    <x v="1"/>
    <x v="1"/>
    <n v="10"/>
    <n v="225"/>
    <n v="2250"/>
    <n v="1300"/>
    <n v="950"/>
  </r>
  <r>
    <x v="98"/>
    <x v="93"/>
    <x v="3"/>
    <x v="0"/>
    <x v="9"/>
    <n v="6"/>
    <n v="630"/>
    <n v="3780"/>
    <n v="2460"/>
    <n v="1320"/>
  </r>
  <r>
    <x v="99"/>
    <x v="94"/>
    <x v="4"/>
    <x v="1"/>
    <x v="18"/>
    <n v="10"/>
    <n v="220"/>
    <n v="2200"/>
    <n v="1200"/>
    <n v="1000"/>
  </r>
  <r>
    <x v="100"/>
    <x v="10"/>
    <x v="2"/>
    <x v="3"/>
    <x v="11"/>
    <n v="6"/>
    <n v="8500"/>
    <n v="51000"/>
    <n v="39000"/>
    <n v="12000"/>
  </r>
  <r>
    <x v="101"/>
    <x v="95"/>
    <x v="2"/>
    <x v="3"/>
    <x v="14"/>
    <n v="12"/>
    <n v="5800"/>
    <n v="69600"/>
    <n v="50400"/>
    <n v="19200"/>
  </r>
  <r>
    <x v="102"/>
    <x v="54"/>
    <x v="0"/>
    <x v="0"/>
    <x v="7"/>
    <n v="5"/>
    <n v="600"/>
    <n v="3000"/>
    <n v="1650"/>
    <n v="1350"/>
  </r>
  <r>
    <x v="103"/>
    <x v="96"/>
    <x v="4"/>
    <x v="2"/>
    <x v="10"/>
    <n v="10"/>
    <n v="1200"/>
    <n v="12000"/>
    <n v="7200"/>
    <n v="4800"/>
  </r>
  <r>
    <x v="104"/>
    <x v="86"/>
    <x v="0"/>
    <x v="1"/>
    <x v="3"/>
    <n v="12"/>
    <n v="162"/>
    <n v="1944"/>
    <n v="960"/>
    <n v="984"/>
  </r>
  <r>
    <x v="105"/>
    <x v="97"/>
    <x v="2"/>
    <x v="2"/>
    <x v="4"/>
    <n v="4"/>
    <n v="617.5"/>
    <n v="2470"/>
    <n v="1520"/>
    <n v="950"/>
  </r>
  <r>
    <x v="106"/>
    <x v="20"/>
    <x v="0"/>
    <x v="1"/>
    <x v="16"/>
    <n v="6"/>
    <n v="320"/>
    <n v="1920"/>
    <n v="1260"/>
    <n v="660"/>
  </r>
  <r>
    <x v="107"/>
    <x v="98"/>
    <x v="4"/>
    <x v="1"/>
    <x v="16"/>
    <n v="3"/>
    <n v="288"/>
    <n v="864"/>
    <n v="630"/>
    <n v="234"/>
  </r>
  <r>
    <x v="108"/>
    <x v="99"/>
    <x v="4"/>
    <x v="2"/>
    <x v="2"/>
    <n v="9"/>
    <n v="9500"/>
    <n v="85500"/>
    <n v="68400"/>
    <n v="17100"/>
  </r>
  <r>
    <x v="109"/>
    <x v="38"/>
    <x v="0"/>
    <x v="3"/>
    <x v="14"/>
    <n v="5"/>
    <n v="5800"/>
    <n v="29000"/>
    <n v="21000"/>
    <n v="8000"/>
  </r>
  <r>
    <x v="110"/>
    <x v="100"/>
    <x v="1"/>
    <x v="1"/>
    <x v="3"/>
    <n v="8"/>
    <n v="162"/>
    <n v="1296"/>
    <n v="640"/>
    <n v="656"/>
  </r>
  <r>
    <x v="111"/>
    <x v="101"/>
    <x v="2"/>
    <x v="1"/>
    <x v="1"/>
    <n v="1"/>
    <n v="237.5"/>
    <n v="237.5"/>
    <n v="130"/>
    <n v="107.5"/>
  </r>
  <r>
    <x v="112"/>
    <x v="19"/>
    <x v="2"/>
    <x v="2"/>
    <x v="8"/>
    <n v="1"/>
    <n v="900"/>
    <n v="900"/>
    <n v="520"/>
    <n v="380"/>
  </r>
  <r>
    <x v="113"/>
    <x v="102"/>
    <x v="3"/>
    <x v="0"/>
    <x v="12"/>
    <n v="2"/>
    <n v="495"/>
    <n v="990"/>
    <n v="600"/>
    <n v="390"/>
  </r>
  <r>
    <x v="114"/>
    <x v="103"/>
    <x v="1"/>
    <x v="3"/>
    <x v="15"/>
    <n v="11"/>
    <n v="4200"/>
    <n v="46200"/>
    <n v="31900"/>
    <n v="14300"/>
  </r>
  <r>
    <x v="115"/>
    <x v="104"/>
    <x v="3"/>
    <x v="1"/>
    <x v="16"/>
    <n v="11"/>
    <n v="320"/>
    <n v="3520"/>
    <n v="2310"/>
    <n v="1210"/>
  </r>
  <r>
    <x v="116"/>
    <x v="39"/>
    <x v="3"/>
    <x v="1"/>
    <x v="18"/>
    <n v="11"/>
    <n v="220"/>
    <n v="2420"/>
    <n v="1320"/>
    <n v="1100"/>
  </r>
  <r>
    <x v="117"/>
    <x v="105"/>
    <x v="4"/>
    <x v="0"/>
    <x v="9"/>
    <n v="6"/>
    <n v="665"/>
    <n v="3990"/>
    <n v="2460"/>
    <n v="1530"/>
  </r>
  <r>
    <x v="118"/>
    <x v="54"/>
    <x v="4"/>
    <x v="2"/>
    <x v="19"/>
    <n v="3"/>
    <n v="1710"/>
    <n v="5130"/>
    <n v="3450"/>
    <n v="1680"/>
  </r>
  <r>
    <x v="119"/>
    <x v="106"/>
    <x v="1"/>
    <x v="2"/>
    <x v="4"/>
    <n v="12"/>
    <n v="650"/>
    <n v="7800"/>
    <n v="4560"/>
    <n v="3240"/>
  </r>
  <r>
    <x v="120"/>
    <x v="107"/>
    <x v="1"/>
    <x v="3"/>
    <x v="5"/>
    <n v="10"/>
    <n v="5580"/>
    <n v="55800"/>
    <n v="45000"/>
    <n v="10800"/>
  </r>
  <r>
    <x v="121"/>
    <x v="108"/>
    <x v="1"/>
    <x v="0"/>
    <x v="12"/>
    <n v="5"/>
    <n v="550"/>
    <n v="2750"/>
    <n v="1500"/>
    <n v="1250"/>
  </r>
  <r>
    <x v="122"/>
    <x v="25"/>
    <x v="1"/>
    <x v="1"/>
    <x v="13"/>
    <n v="8"/>
    <n v="150"/>
    <n v="1200"/>
    <n v="520"/>
    <n v="680"/>
  </r>
  <r>
    <x v="123"/>
    <x v="109"/>
    <x v="1"/>
    <x v="0"/>
    <x v="9"/>
    <n v="12"/>
    <n v="630"/>
    <n v="7560"/>
    <n v="4920"/>
    <n v="2640"/>
  </r>
  <r>
    <x v="124"/>
    <x v="110"/>
    <x v="1"/>
    <x v="3"/>
    <x v="6"/>
    <n v="11"/>
    <n v="990"/>
    <n v="10890"/>
    <n v="6820"/>
    <n v="4070"/>
  </r>
  <r>
    <x v="125"/>
    <x v="111"/>
    <x v="2"/>
    <x v="0"/>
    <x v="17"/>
    <n v="7"/>
    <n v="1170"/>
    <n v="8190"/>
    <n v="5740"/>
    <n v="2450"/>
  </r>
  <r>
    <x v="126"/>
    <x v="112"/>
    <x v="2"/>
    <x v="3"/>
    <x v="15"/>
    <n v="3"/>
    <n v="4200"/>
    <n v="12600"/>
    <n v="8700"/>
    <n v="3900"/>
  </r>
  <r>
    <x v="127"/>
    <x v="113"/>
    <x v="3"/>
    <x v="2"/>
    <x v="2"/>
    <n v="5"/>
    <n v="9025"/>
    <n v="45125"/>
    <n v="38000"/>
    <n v="7125"/>
  </r>
  <r>
    <x v="128"/>
    <x v="68"/>
    <x v="4"/>
    <x v="3"/>
    <x v="15"/>
    <n v="11"/>
    <n v="3990"/>
    <n v="43890"/>
    <n v="31900"/>
    <n v="11990"/>
  </r>
  <r>
    <x v="129"/>
    <x v="114"/>
    <x v="3"/>
    <x v="0"/>
    <x v="9"/>
    <n v="1"/>
    <n v="630"/>
    <n v="630"/>
    <n v="410"/>
    <n v="220"/>
  </r>
  <r>
    <x v="130"/>
    <x v="94"/>
    <x v="3"/>
    <x v="0"/>
    <x v="0"/>
    <n v="7"/>
    <n v="450"/>
    <n v="3150"/>
    <n v="1680"/>
    <n v="1470"/>
  </r>
  <r>
    <x v="131"/>
    <x v="102"/>
    <x v="4"/>
    <x v="3"/>
    <x v="11"/>
    <n v="6"/>
    <n v="8500"/>
    <n v="51000"/>
    <n v="39000"/>
    <n v="12000"/>
  </r>
  <r>
    <x v="132"/>
    <x v="115"/>
    <x v="4"/>
    <x v="3"/>
    <x v="11"/>
    <n v="5"/>
    <n v="8500"/>
    <n v="42500"/>
    <n v="32500"/>
    <n v="10000"/>
  </r>
  <r>
    <x v="133"/>
    <x v="116"/>
    <x v="1"/>
    <x v="1"/>
    <x v="18"/>
    <n v="5"/>
    <n v="198"/>
    <n v="990"/>
    <n v="600"/>
    <n v="390"/>
  </r>
  <r>
    <x v="134"/>
    <x v="117"/>
    <x v="2"/>
    <x v="2"/>
    <x v="2"/>
    <n v="3"/>
    <n v="9500"/>
    <n v="28500"/>
    <n v="22800"/>
    <n v="5700"/>
  </r>
  <r>
    <x v="135"/>
    <x v="118"/>
    <x v="2"/>
    <x v="1"/>
    <x v="16"/>
    <n v="7"/>
    <n v="320"/>
    <n v="2240"/>
    <n v="1470"/>
    <n v="770"/>
  </r>
  <r>
    <x v="136"/>
    <x v="119"/>
    <x v="4"/>
    <x v="1"/>
    <x v="18"/>
    <n v="5"/>
    <n v="209"/>
    <n v="1045"/>
    <n v="600"/>
    <n v="445"/>
  </r>
  <r>
    <x v="137"/>
    <x v="120"/>
    <x v="3"/>
    <x v="3"/>
    <x v="11"/>
    <n v="8"/>
    <n v="8500"/>
    <n v="68000"/>
    <n v="52000"/>
    <n v="16000"/>
  </r>
  <r>
    <x v="138"/>
    <x v="17"/>
    <x v="1"/>
    <x v="3"/>
    <x v="15"/>
    <n v="10"/>
    <n v="4200"/>
    <n v="42000"/>
    <n v="29000"/>
    <n v="13000"/>
  </r>
  <r>
    <x v="139"/>
    <x v="121"/>
    <x v="2"/>
    <x v="3"/>
    <x v="14"/>
    <n v="5"/>
    <n v="5800"/>
    <n v="29000"/>
    <n v="21000"/>
    <n v="8000"/>
  </r>
  <r>
    <x v="140"/>
    <x v="122"/>
    <x v="1"/>
    <x v="0"/>
    <x v="12"/>
    <n v="1"/>
    <n v="522.5"/>
    <n v="522.5"/>
    <n v="300"/>
    <n v="222.5"/>
  </r>
  <r>
    <x v="141"/>
    <x v="46"/>
    <x v="3"/>
    <x v="0"/>
    <x v="0"/>
    <n v="5"/>
    <n v="450"/>
    <n v="2250"/>
    <n v="1200"/>
    <n v="1050"/>
  </r>
  <r>
    <x v="142"/>
    <x v="123"/>
    <x v="2"/>
    <x v="1"/>
    <x v="3"/>
    <n v="4"/>
    <n v="162"/>
    <n v="648"/>
    <n v="320"/>
    <n v="328"/>
  </r>
  <r>
    <x v="143"/>
    <x v="124"/>
    <x v="3"/>
    <x v="3"/>
    <x v="11"/>
    <n v="6"/>
    <n v="8500"/>
    <n v="51000"/>
    <n v="39000"/>
    <n v="12000"/>
  </r>
  <r>
    <x v="144"/>
    <x v="85"/>
    <x v="2"/>
    <x v="3"/>
    <x v="6"/>
    <n v="11"/>
    <n v="1100"/>
    <n v="12100"/>
    <n v="6820"/>
    <n v="5280"/>
  </r>
  <r>
    <x v="145"/>
    <x v="75"/>
    <x v="0"/>
    <x v="0"/>
    <x v="12"/>
    <n v="3"/>
    <n v="495"/>
    <n v="1485"/>
    <n v="900"/>
    <n v="585"/>
  </r>
  <r>
    <x v="146"/>
    <x v="125"/>
    <x v="0"/>
    <x v="1"/>
    <x v="13"/>
    <n v="11"/>
    <n v="150"/>
    <n v="1650"/>
    <n v="715"/>
    <n v="935"/>
  </r>
  <r>
    <x v="147"/>
    <x v="126"/>
    <x v="3"/>
    <x v="1"/>
    <x v="3"/>
    <n v="12"/>
    <n v="180"/>
    <n v="2160"/>
    <n v="960"/>
    <n v="1200"/>
  </r>
  <r>
    <x v="148"/>
    <x v="127"/>
    <x v="3"/>
    <x v="0"/>
    <x v="7"/>
    <n v="2"/>
    <n v="540"/>
    <n v="1080"/>
    <n v="660"/>
    <n v="420"/>
  </r>
  <r>
    <x v="149"/>
    <x v="128"/>
    <x v="3"/>
    <x v="3"/>
    <x v="11"/>
    <n v="1"/>
    <n v="8500"/>
    <n v="8500"/>
    <n v="6500"/>
    <n v="2000"/>
  </r>
  <r>
    <x v="150"/>
    <x v="129"/>
    <x v="1"/>
    <x v="0"/>
    <x v="0"/>
    <n v="6"/>
    <n v="405"/>
    <n v="2430"/>
    <n v="1440"/>
    <n v="990"/>
  </r>
  <r>
    <x v="151"/>
    <x v="130"/>
    <x v="3"/>
    <x v="3"/>
    <x v="14"/>
    <n v="2"/>
    <n v="5220"/>
    <n v="10440"/>
    <n v="8400"/>
    <n v="2040"/>
  </r>
  <r>
    <x v="152"/>
    <x v="85"/>
    <x v="2"/>
    <x v="0"/>
    <x v="0"/>
    <n v="2"/>
    <n v="450"/>
    <n v="900"/>
    <n v="480"/>
    <n v="420"/>
  </r>
  <r>
    <x v="153"/>
    <x v="131"/>
    <x v="3"/>
    <x v="0"/>
    <x v="17"/>
    <n v="10"/>
    <n v="1300"/>
    <n v="13000"/>
    <n v="8200"/>
    <n v="4800"/>
  </r>
  <r>
    <x v="154"/>
    <x v="132"/>
    <x v="2"/>
    <x v="2"/>
    <x v="4"/>
    <n v="3"/>
    <n v="650"/>
    <n v="1950"/>
    <n v="1140"/>
    <n v="810"/>
  </r>
  <r>
    <x v="155"/>
    <x v="100"/>
    <x v="3"/>
    <x v="2"/>
    <x v="4"/>
    <n v="6"/>
    <n v="585"/>
    <n v="3510"/>
    <n v="2280"/>
    <n v="1230"/>
  </r>
  <r>
    <x v="156"/>
    <x v="133"/>
    <x v="0"/>
    <x v="1"/>
    <x v="1"/>
    <n v="4"/>
    <n v="250"/>
    <n v="1000"/>
    <n v="520"/>
    <n v="480"/>
  </r>
  <r>
    <x v="157"/>
    <x v="73"/>
    <x v="4"/>
    <x v="2"/>
    <x v="2"/>
    <n v="10"/>
    <n v="9500"/>
    <n v="95000"/>
    <n v="76000"/>
    <n v="19000"/>
  </r>
  <r>
    <x v="158"/>
    <x v="44"/>
    <x v="3"/>
    <x v="3"/>
    <x v="6"/>
    <n v="12"/>
    <n v="1100"/>
    <n v="13200"/>
    <n v="7440"/>
    <n v="5760"/>
  </r>
  <r>
    <x v="159"/>
    <x v="134"/>
    <x v="0"/>
    <x v="1"/>
    <x v="13"/>
    <n v="5"/>
    <n v="150"/>
    <n v="750"/>
    <n v="325"/>
    <n v="425"/>
  </r>
  <r>
    <x v="160"/>
    <x v="135"/>
    <x v="3"/>
    <x v="0"/>
    <x v="0"/>
    <n v="2"/>
    <n v="405"/>
    <n v="810"/>
    <n v="480"/>
    <n v="330"/>
  </r>
  <r>
    <x v="161"/>
    <x v="36"/>
    <x v="2"/>
    <x v="3"/>
    <x v="15"/>
    <n v="8"/>
    <n v="3780"/>
    <n v="30240"/>
    <n v="23200"/>
    <n v="7040"/>
  </r>
  <r>
    <x v="162"/>
    <x v="136"/>
    <x v="0"/>
    <x v="3"/>
    <x v="14"/>
    <n v="5"/>
    <n v="5220"/>
    <n v="26100"/>
    <n v="21000"/>
    <n v="5100"/>
  </r>
  <r>
    <x v="163"/>
    <x v="137"/>
    <x v="1"/>
    <x v="3"/>
    <x v="5"/>
    <n v="6"/>
    <n v="6200"/>
    <n v="37200"/>
    <n v="27000"/>
    <n v="10200"/>
  </r>
  <r>
    <x v="164"/>
    <x v="138"/>
    <x v="4"/>
    <x v="1"/>
    <x v="18"/>
    <n v="3"/>
    <n v="220"/>
    <n v="660"/>
    <n v="360"/>
    <n v="300"/>
  </r>
  <r>
    <x v="165"/>
    <x v="139"/>
    <x v="0"/>
    <x v="1"/>
    <x v="1"/>
    <n v="11"/>
    <n v="237.5"/>
    <n v="2612.5"/>
    <n v="1430"/>
    <n v="1182.5"/>
  </r>
  <r>
    <x v="166"/>
    <x v="5"/>
    <x v="1"/>
    <x v="0"/>
    <x v="7"/>
    <n v="6"/>
    <n v="600"/>
    <n v="3600"/>
    <n v="1980"/>
    <n v="1620"/>
  </r>
  <r>
    <x v="167"/>
    <x v="65"/>
    <x v="1"/>
    <x v="1"/>
    <x v="18"/>
    <n v="4"/>
    <n v="220"/>
    <n v="880"/>
    <n v="480"/>
    <n v="400"/>
  </r>
  <r>
    <x v="168"/>
    <x v="140"/>
    <x v="0"/>
    <x v="0"/>
    <x v="9"/>
    <n v="8"/>
    <n v="630"/>
    <n v="5040"/>
    <n v="3280"/>
    <n v="1760"/>
  </r>
  <r>
    <x v="169"/>
    <x v="55"/>
    <x v="1"/>
    <x v="3"/>
    <x v="11"/>
    <n v="7"/>
    <n v="8075"/>
    <n v="56525"/>
    <n v="45500"/>
    <n v="11025"/>
  </r>
  <r>
    <x v="170"/>
    <x v="141"/>
    <x v="2"/>
    <x v="3"/>
    <x v="6"/>
    <n v="10"/>
    <n v="1045"/>
    <n v="10450"/>
    <n v="6200"/>
    <n v="4250"/>
  </r>
  <r>
    <x v="171"/>
    <x v="33"/>
    <x v="1"/>
    <x v="1"/>
    <x v="3"/>
    <n v="6"/>
    <n v="180"/>
    <n v="1080"/>
    <n v="480"/>
    <n v="600"/>
  </r>
  <r>
    <x v="172"/>
    <x v="142"/>
    <x v="3"/>
    <x v="2"/>
    <x v="2"/>
    <n v="4"/>
    <n v="9500"/>
    <n v="38000"/>
    <n v="30400"/>
    <n v="7600"/>
  </r>
  <r>
    <x v="173"/>
    <x v="143"/>
    <x v="3"/>
    <x v="2"/>
    <x v="19"/>
    <n v="10"/>
    <n v="1800"/>
    <n v="18000"/>
    <n v="11500"/>
    <n v="6500"/>
  </r>
  <r>
    <x v="174"/>
    <x v="115"/>
    <x v="0"/>
    <x v="0"/>
    <x v="9"/>
    <n v="7"/>
    <n v="700"/>
    <n v="4900"/>
    <n v="2870"/>
    <n v="2030"/>
  </r>
  <r>
    <x v="175"/>
    <x v="144"/>
    <x v="3"/>
    <x v="0"/>
    <x v="7"/>
    <n v="4"/>
    <n v="600"/>
    <n v="2400"/>
    <n v="1320"/>
    <n v="1080"/>
  </r>
  <r>
    <x v="176"/>
    <x v="145"/>
    <x v="3"/>
    <x v="1"/>
    <x v="16"/>
    <n v="11"/>
    <n v="320"/>
    <n v="3520"/>
    <n v="2310"/>
    <n v="1210"/>
  </r>
  <r>
    <x v="177"/>
    <x v="146"/>
    <x v="3"/>
    <x v="0"/>
    <x v="7"/>
    <n v="6"/>
    <n v="600"/>
    <n v="3600"/>
    <n v="1980"/>
    <n v="1620"/>
  </r>
  <r>
    <x v="178"/>
    <x v="147"/>
    <x v="3"/>
    <x v="3"/>
    <x v="5"/>
    <n v="5"/>
    <n v="5890"/>
    <n v="29450"/>
    <n v="22500"/>
    <n v="6950"/>
  </r>
  <r>
    <x v="179"/>
    <x v="28"/>
    <x v="3"/>
    <x v="3"/>
    <x v="15"/>
    <n v="3"/>
    <n v="4200"/>
    <n v="12600"/>
    <n v="8700"/>
    <n v="3900"/>
  </r>
  <r>
    <x v="180"/>
    <x v="55"/>
    <x v="0"/>
    <x v="2"/>
    <x v="4"/>
    <n v="5"/>
    <n v="617.5"/>
    <n v="3087.5"/>
    <n v="1900"/>
    <n v="1187.5"/>
  </r>
  <r>
    <x v="181"/>
    <x v="107"/>
    <x v="3"/>
    <x v="2"/>
    <x v="10"/>
    <n v="12"/>
    <n v="1200"/>
    <n v="14400"/>
    <n v="8640"/>
    <n v="5760"/>
  </r>
  <r>
    <x v="182"/>
    <x v="148"/>
    <x v="4"/>
    <x v="0"/>
    <x v="0"/>
    <n v="8"/>
    <n v="427.5"/>
    <n v="3420"/>
    <n v="1920"/>
    <n v="1500"/>
  </r>
  <r>
    <x v="183"/>
    <x v="149"/>
    <x v="4"/>
    <x v="1"/>
    <x v="13"/>
    <n v="1"/>
    <n v="135"/>
    <n v="135"/>
    <n v="65"/>
    <n v="70"/>
  </r>
  <r>
    <x v="184"/>
    <x v="150"/>
    <x v="0"/>
    <x v="3"/>
    <x v="6"/>
    <n v="9"/>
    <n v="990"/>
    <n v="8910"/>
    <n v="5580"/>
    <n v="3330"/>
  </r>
  <r>
    <x v="185"/>
    <x v="151"/>
    <x v="0"/>
    <x v="0"/>
    <x v="9"/>
    <n v="12"/>
    <n v="630"/>
    <n v="7560"/>
    <n v="4920"/>
    <n v="2640"/>
  </r>
  <r>
    <x v="186"/>
    <x v="152"/>
    <x v="4"/>
    <x v="0"/>
    <x v="0"/>
    <n v="6"/>
    <n v="427.5"/>
    <n v="2565"/>
    <n v="1440"/>
    <n v="1125"/>
  </r>
  <r>
    <x v="187"/>
    <x v="79"/>
    <x v="1"/>
    <x v="1"/>
    <x v="1"/>
    <n v="2"/>
    <n v="225"/>
    <n v="450"/>
    <n v="260"/>
    <n v="190"/>
  </r>
  <r>
    <x v="188"/>
    <x v="153"/>
    <x v="2"/>
    <x v="3"/>
    <x v="11"/>
    <n v="10"/>
    <n v="8075"/>
    <n v="80750"/>
    <n v="65000"/>
    <n v="15750"/>
  </r>
  <r>
    <x v="189"/>
    <x v="34"/>
    <x v="0"/>
    <x v="0"/>
    <x v="7"/>
    <n v="2"/>
    <n v="600"/>
    <n v="1200"/>
    <n v="660"/>
    <n v="540"/>
  </r>
  <r>
    <x v="190"/>
    <x v="154"/>
    <x v="0"/>
    <x v="3"/>
    <x v="6"/>
    <n v="4"/>
    <n v="1045"/>
    <n v="4180"/>
    <n v="2480"/>
    <n v="1700"/>
  </r>
  <r>
    <x v="191"/>
    <x v="155"/>
    <x v="3"/>
    <x v="0"/>
    <x v="9"/>
    <n v="9"/>
    <n v="665"/>
    <n v="5985"/>
    <n v="3690"/>
    <n v="2295"/>
  </r>
  <r>
    <x v="192"/>
    <x v="124"/>
    <x v="0"/>
    <x v="0"/>
    <x v="9"/>
    <n v="2"/>
    <n v="665"/>
    <n v="1330"/>
    <n v="820"/>
    <n v="510"/>
  </r>
  <r>
    <x v="193"/>
    <x v="156"/>
    <x v="2"/>
    <x v="1"/>
    <x v="16"/>
    <n v="8"/>
    <n v="288"/>
    <n v="2304"/>
    <n v="1680"/>
    <n v="624"/>
  </r>
  <r>
    <x v="194"/>
    <x v="157"/>
    <x v="0"/>
    <x v="0"/>
    <x v="0"/>
    <n v="9"/>
    <n v="405"/>
    <n v="3645"/>
    <n v="2160"/>
    <n v="1485"/>
  </r>
  <r>
    <x v="195"/>
    <x v="158"/>
    <x v="4"/>
    <x v="2"/>
    <x v="2"/>
    <n v="3"/>
    <n v="9500"/>
    <n v="28500"/>
    <n v="22800"/>
    <n v="5700"/>
  </r>
  <r>
    <x v="196"/>
    <x v="147"/>
    <x v="3"/>
    <x v="1"/>
    <x v="13"/>
    <n v="6"/>
    <n v="150"/>
    <n v="900"/>
    <n v="390"/>
    <n v="510"/>
  </r>
  <r>
    <x v="197"/>
    <x v="159"/>
    <x v="2"/>
    <x v="1"/>
    <x v="13"/>
    <n v="7"/>
    <n v="135"/>
    <n v="945"/>
    <n v="455"/>
    <n v="490"/>
  </r>
  <r>
    <x v="198"/>
    <x v="160"/>
    <x v="0"/>
    <x v="3"/>
    <x v="14"/>
    <n v="2"/>
    <n v="5800"/>
    <n v="11600"/>
    <n v="8400"/>
    <n v="3200"/>
  </r>
  <r>
    <x v="199"/>
    <x v="161"/>
    <x v="0"/>
    <x v="0"/>
    <x v="0"/>
    <n v="3"/>
    <n v="450"/>
    <n v="1350"/>
    <n v="720"/>
    <n v="630"/>
  </r>
  <r>
    <x v="200"/>
    <x v="162"/>
    <x v="4"/>
    <x v="2"/>
    <x v="2"/>
    <n v="7"/>
    <n v="8550"/>
    <n v="59850"/>
    <n v="53200"/>
    <n v="6650"/>
  </r>
  <r>
    <x v="201"/>
    <x v="113"/>
    <x v="2"/>
    <x v="2"/>
    <x v="4"/>
    <n v="12"/>
    <n v="585"/>
    <n v="7020"/>
    <n v="4560"/>
    <n v="2460"/>
  </r>
  <r>
    <x v="202"/>
    <x v="28"/>
    <x v="1"/>
    <x v="1"/>
    <x v="13"/>
    <n v="1"/>
    <n v="142.5"/>
    <n v="142.5"/>
    <n v="65"/>
    <n v="77.5"/>
  </r>
  <r>
    <x v="203"/>
    <x v="163"/>
    <x v="4"/>
    <x v="2"/>
    <x v="4"/>
    <n v="12"/>
    <n v="617.5"/>
    <n v="7410"/>
    <n v="4560"/>
    <n v="2850"/>
  </r>
  <r>
    <x v="204"/>
    <x v="118"/>
    <x v="0"/>
    <x v="3"/>
    <x v="6"/>
    <n v="7"/>
    <n v="1100"/>
    <n v="7700"/>
    <n v="4340"/>
    <n v="3360"/>
  </r>
  <r>
    <x v="205"/>
    <x v="164"/>
    <x v="2"/>
    <x v="1"/>
    <x v="13"/>
    <n v="6"/>
    <n v="150"/>
    <n v="900"/>
    <n v="390"/>
    <n v="510"/>
  </r>
  <r>
    <x v="206"/>
    <x v="14"/>
    <x v="3"/>
    <x v="2"/>
    <x v="4"/>
    <n v="6"/>
    <n v="650"/>
    <n v="3900"/>
    <n v="2280"/>
    <n v="1620"/>
  </r>
  <r>
    <x v="207"/>
    <x v="91"/>
    <x v="0"/>
    <x v="1"/>
    <x v="13"/>
    <n v="8"/>
    <n v="150"/>
    <n v="1200"/>
    <n v="520"/>
    <n v="680"/>
  </r>
  <r>
    <x v="208"/>
    <x v="165"/>
    <x v="4"/>
    <x v="3"/>
    <x v="15"/>
    <n v="2"/>
    <n v="4200"/>
    <n v="8400"/>
    <n v="5800"/>
    <n v="2600"/>
  </r>
  <r>
    <x v="209"/>
    <x v="154"/>
    <x v="4"/>
    <x v="1"/>
    <x v="16"/>
    <n v="4"/>
    <n v="304"/>
    <n v="1216"/>
    <n v="840"/>
    <n v="376"/>
  </r>
  <r>
    <x v="210"/>
    <x v="166"/>
    <x v="2"/>
    <x v="1"/>
    <x v="16"/>
    <n v="6"/>
    <n v="320"/>
    <n v="1920"/>
    <n v="1260"/>
    <n v="660"/>
  </r>
  <r>
    <x v="211"/>
    <x v="167"/>
    <x v="0"/>
    <x v="1"/>
    <x v="1"/>
    <n v="5"/>
    <n v="250"/>
    <n v="1250"/>
    <n v="650"/>
    <n v="600"/>
  </r>
  <r>
    <x v="212"/>
    <x v="168"/>
    <x v="0"/>
    <x v="1"/>
    <x v="3"/>
    <n v="7"/>
    <n v="171"/>
    <n v="1197"/>
    <n v="560"/>
    <n v="637"/>
  </r>
  <r>
    <x v="213"/>
    <x v="44"/>
    <x v="1"/>
    <x v="3"/>
    <x v="5"/>
    <n v="5"/>
    <n v="6200"/>
    <n v="31000"/>
    <n v="22500"/>
    <n v="8500"/>
  </r>
  <r>
    <x v="214"/>
    <x v="169"/>
    <x v="1"/>
    <x v="1"/>
    <x v="18"/>
    <n v="9"/>
    <n v="220"/>
    <n v="1980"/>
    <n v="1080"/>
    <n v="900"/>
  </r>
  <r>
    <x v="215"/>
    <x v="170"/>
    <x v="3"/>
    <x v="2"/>
    <x v="10"/>
    <n v="12"/>
    <n v="1200"/>
    <n v="14400"/>
    <n v="8640"/>
    <n v="5760"/>
  </r>
  <r>
    <x v="216"/>
    <x v="43"/>
    <x v="0"/>
    <x v="1"/>
    <x v="1"/>
    <n v="11"/>
    <n v="225"/>
    <n v="2475"/>
    <n v="1430"/>
    <n v="1045"/>
  </r>
  <r>
    <x v="217"/>
    <x v="171"/>
    <x v="1"/>
    <x v="0"/>
    <x v="7"/>
    <n v="10"/>
    <n v="600"/>
    <n v="6000"/>
    <n v="3300"/>
    <n v="2700"/>
  </r>
  <r>
    <x v="218"/>
    <x v="153"/>
    <x v="4"/>
    <x v="2"/>
    <x v="2"/>
    <n v="6"/>
    <n v="9500"/>
    <n v="57000"/>
    <n v="45600"/>
    <n v="11400"/>
  </r>
  <r>
    <x v="219"/>
    <x v="172"/>
    <x v="0"/>
    <x v="1"/>
    <x v="1"/>
    <n v="9"/>
    <n v="250"/>
    <n v="2250"/>
    <n v="1170"/>
    <n v="1080"/>
  </r>
  <r>
    <x v="220"/>
    <x v="173"/>
    <x v="2"/>
    <x v="3"/>
    <x v="5"/>
    <n v="7"/>
    <n v="6200"/>
    <n v="43400"/>
    <n v="31500"/>
    <n v="11900"/>
  </r>
  <r>
    <x v="221"/>
    <x v="174"/>
    <x v="4"/>
    <x v="2"/>
    <x v="10"/>
    <n v="10"/>
    <n v="1140"/>
    <n v="11400"/>
    <n v="7200"/>
    <n v="4200"/>
  </r>
  <r>
    <x v="222"/>
    <x v="175"/>
    <x v="4"/>
    <x v="0"/>
    <x v="7"/>
    <n v="1"/>
    <n v="540"/>
    <n v="540"/>
    <n v="330"/>
    <n v="210"/>
  </r>
  <r>
    <x v="223"/>
    <x v="176"/>
    <x v="0"/>
    <x v="3"/>
    <x v="11"/>
    <n v="10"/>
    <n v="7650"/>
    <n v="76500"/>
    <n v="65000"/>
    <n v="11500"/>
  </r>
  <r>
    <x v="224"/>
    <x v="177"/>
    <x v="3"/>
    <x v="2"/>
    <x v="10"/>
    <n v="7"/>
    <n v="1200"/>
    <n v="8400"/>
    <n v="5040"/>
    <n v="3360"/>
  </r>
  <r>
    <x v="225"/>
    <x v="22"/>
    <x v="3"/>
    <x v="2"/>
    <x v="2"/>
    <n v="3"/>
    <n v="9025"/>
    <n v="27075"/>
    <n v="22800"/>
    <n v="4275"/>
  </r>
  <r>
    <x v="226"/>
    <x v="59"/>
    <x v="3"/>
    <x v="1"/>
    <x v="16"/>
    <n v="11"/>
    <n v="320"/>
    <n v="3520"/>
    <n v="2310"/>
    <n v="1210"/>
  </r>
  <r>
    <x v="227"/>
    <x v="178"/>
    <x v="2"/>
    <x v="3"/>
    <x v="6"/>
    <n v="8"/>
    <n v="1045"/>
    <n v="8360"/>
    <n v="4960"/>
    <n v="3400"/>
  </r>
  <r>
    <x v="228"/>
    <x v="115"/>
    <x v="2"/>
    <x v="3"/>
    <x v="15"/>
    <n v="5"/>
    <n v="3780"/>
    <n v="18900"/>
    <n v="14500"/>
    <n v="4400"/>
  </r>
  <r>
    <x v="229"/>
    <x v="179"/>
    <x v="0"/>
    <x v="3"/>
    <x v="6"/>
    <n v="10"/>
    <n v="990"/>
    <n v="9900"/>
    <n v="6200"/>
    <n v="3700"/>
  </r>
  <r>
    <x v="230"/>
    <x v="81"/>
    <x v="4"/>
    <x v="1"/>
    <x v="3"/>
    <n v="6"/>
    <n v="171"/>
    <n v="1026"/>
    <n v="480"/>
    <n v="546"/>
  </r>
  <r>
    <x v="231"/>
    <x v="127"/>
    <x v="2"/>
    <x v="0"/>
    <x v="0"/>
    <n v="6"/>
    <n v="450"/>
    <n v="2700"/>
    <n v="1440"/>
    <n v="1260"/>
  </r>
  <r>
    <x v="232"/>
    <x v="82"/>
    <x v="3"/>
    <x v="3"/>
    <x v="11"/>
    <n v="1"/>
    <n v="8075"/>
    <n v="8075"/>
    <n v="6500"/>
    <n v="1575"/>
  </r>
  <r>
    <x v="233"/>
    <x v="180"/>
    <x v="1"/>
    <x v="3"/>
    <x v="5"/>
    <n v="5"/>
    <n v="5890"/>
    <n v="29450"/>
    <n v="22500"/>
    <n v="6950"/>
  </r>
  <r>
    <x v="234"/>
    <x v="181"/>
    <x v="4"/>
    <x v="3"/>
    <x v="5"/>
    <n v="5"/>
    <n v="6200"/>
    <n v="31000"/>
    <n v="22500"/>
    <n v="8500"/>
  </r>
  <r>
    <x v="235"/>
    <x v="182"/>
    <x v="0"/>
    <x v="1"/>
    <x v="1"/>
    <n v="7"/>
    <n v="225"/>
    <n v="1575"/>
    <n v="910"/>
    <n v="665"/>
  </r>
  <r>
    <x v="236"/>
    <x v="183"/>
    <x v="4"/>
    <x v="2"/>
    <x v="2"/>
    <n v="3"/>
    <n v="9025"/>
    <n v="27075"/>
    <n v="22800"/>
    <n v="4275"/>
  </r>
  <r>
    <x v="237"/>
    <x v="184"/>
    <x v="4"/>
    <x v="1"/>
    <x v="16"/>
    <n v="6"/>
    <n v="320"/>
    <n v="1920"/>
    <n v="1260"/>
    <n v="660"/>
  </r>
  <r>
    <x v="238"/>
    <x v="185"/>
    <x v="3"/>
    <x v="1"/>
    <x v="3"/>
    <n v="6"/>
    <n v="180"/>
    <n v="1080"/>
    <n v="480"/>
    <n v="600"/>
  </r>
  <r>
    <x v="239"/>
    <x v="168"/>
    <x v="1"/>
    <x v="1"/>
    <x v="1"/>
    <n v="1"/>
    <n v="250"/>
    <n v="250"/>
    <n v="130"/>
    <n v="120"/>
  </r>
  <r>
    <x v="240"/>
    <x v="186"/>
    <x v="3"/>
    <x v="1"/>
    <x v="1"/>
    <n v="3"/>
    <n v="225"/>
    <n v="675"/>
    <n v="390"/>
    <n v="285"/>
  </r>
  <r>
    <x v="241"/>
    <x v="187"/>
    <x v="3"/>
    <x v="2"/>
    <x v="8"/>
    <n v="6"/>
    <n v="900"/>
    <n v="5400"/>
    <n v="3120"/>
    <n v="2280"/>
  </r>
  <r>
    <x v="242"/>
    <x v="188"/>
    <x v="2"/>
    <x v="1"/>
    <x v="18"/>
    <n v="5"/>
    <n v="220"/>
    <n v="1100"/>
    <n v="600"/>
    <n v="500"/>
  </r>
  <r>
    <x v="243"/>
    <x v="189"/>
    <x v="2"/>
    <x v="0"/>
    <x v="7"/>
    <n v="3"/>
    <n v="570"/>
    <n v="1710"/>
    <n v="990"/>
    <n v="720"/>
  </r>
  <r>
    <x v="244"/>
    <x v="190"/>
    <x v="4"/>
    <x v="1"/>
    <x v="3"/>
    <n v="8"/>
    <n v="171"/>
    <n v="1368"/>
    <n v="640"/>
    <n v="728"/>
  </r>
  <r>
    <x v="245"/>
    <x v="191"/>
    <x v="4"/>
    <x v="3"/>
    <x v="15"/>
    <n v="8"/>
    <n v="4200"/>
    <n v="33600"/>
    <n v="23200"/>
    <n v="10400"/>
  </r>
  <r>
    <x v="246"/>
    <x v="192"/>
    <x v="0"/>
    <x v="1"/>
    <x v="13"/>
    <n v="1"/>
    <n v="150"/>
    <n v="150"/>
    <n v="65"/>
    <n v="85"/>
  </r>
  <r>
    <x v="247"/>
    <x v="34"/>
    <x v="0"/>
    <x v="3"/>
    <x v="5"/>
    <n v="7"/>
    <n v="5580"/>
    <n v="39060"/>
    <n v="31500"/>
    <n v="7560"/>
  </r>
  <r>
    <x v="248"/>
    <x v="55"/>
    <x v="0"/>
    <x v="1"/>
    <x v="16"/>
    <n v="12"/>
    <n v="320"/>
    <n v="3840"/>
    <n v="2520"/>
    <n v="1320"/>
  </r>
  <r>
    <x v="249"/>
    <x v="193"/>
    <x v="2"/>
    <x v="0"/>
    <x v="17"/>
    <n v="2"/>
    <n v="1170"/>
    <n v="2340"/>
    <n v="1640"/>
    <n v="700"/>
  </r>
  <r>
    <x v="250"/>
    <x v="52"/>
    <x v="1"/>
    <x v="2"/>
    <x v="10"/>
    <n v="11"/>
    <n v="1080"/>
    <n v="11880"/>
    <n v="7920"/>
    <n v="3960"/>
  </r>
  <r>
    <x v="251"/>
    <x v="119"/>
    <x v="4"/>
    <x v="0"/>
    <x v="9"/>
    <n v="11"/>
    <n v="700"/>
    <n v="7700"/>
    <n v="4510"/>
    <n v="3190"/>
  </r>
  <r>
    <x v="252"/>
    <x v="87"/>
    <x v="3"/>
    <x v="0"/>
    <x v="7"/>
    <n v="5"/>
    <n v="600"/>
    <n v="3000"/>
    <n v="1650"/>
    <n v="1350"/>
  </r>
  <r>
    <x v="253"/>
    <x v="16"/>
    <x v="3"/>
    <x v="1"/>
    <x v="3"/>
    <n v="10"/>
    <n v="171"/>
    <n v="1710"/>
    <n v="800"/>
    <n v="910"/>
  </r>
  <r>
    <x v="254"/>
    <x v="24"/>
    <x v="3"/>
    <x v="0"/>
    <x v="0"/>
    <n v="4"/>
    <n v="427.5"/>
    <n v="1710"/>
    <n v="960"/>
    <n v="750"/>
  </r>
  <r>
    <x v="255"/>
    <x v="173"/>
    <x v="4"/>
    <x v="3"/>
    <x v="6"/>
    <n v="5"/>
    <n v="1100"/>
    <n v="5500"/>
    <n v="3100"/>
    <n v="2400"/>
  </r>
  <r>
    <x v="256"/>
    <x v="88"/>
    <x v="4"/>
    <x v="3"/>
    <x v="15"/>
    <n v="7"/>
    <n v="4200"/>
    <n v="29400"/>
    <n v="20300"/>
    <n v="9100"/>
  </r>
  <r>
    <x v="257"/>
    <x v="54"/>
    <x v="1"/>
    <x v="0"/>
    <x v="9"/>
    <n v="11"/>
    <n v="665"/>
    <n v="7315"/>
    <n v="4510"/>
    <n v="2805"/>
  </r>
  <r>
    <x v="258"/>
    <x v="18"/>
    <x v="3"/>
    <x v="0"/>
    <x v="12"/>
    <n v="4"/>
    <n v="550"/>
    <n v="2200"/>
    <n v="1200"/>
    <n v="1000"/>
  </r>
  <r>
    <x v="259"/>
    <x v="194"/>
    <x v="4"/>
    <x v="1"/>
    <x v="1"/>
    <n v="5"/>
    <n v="225"/>
    <n v="1125"/>
    <n v="650"/>
    <n v="475"/>
  </r>
  <r>
    <x v="260"/>
    <x v="112"/>
    <x v="3"/>
    <x v="1"/>
    <x v="18"/>
    <n v="5"/>
    <n v="198"/>
    <n v="990"/>
    <n v="600"/>
    <n v="390"/>
  </r>
  <r>
    <x v="261"/>
    <x v="195"/>
    <x v="0"/>
    <x v="2"/>
    <x v="2"/>
    <n v="5"/>
    <n v="9025"/>
    <n v="45125"/>
    <n v="38000"/>
    <n v="7125"/>
  </r>
  <r>
    <x v="262"/>
    <x v="28"/>
    <x v="3"/>
    <x v="2"/>
    <x v="10"/>
    <n v="11"/>
    <n v="1080"/>
    <n v="11880"/>
    <n v="7920"/>
    <n v="3960"/>
  </r>
  <r>
    <x v="263"/>
    <x v="196"/>
    <x v="2"/>
    <x v="1"/>
    <x v="18"/>
    <n v="5"/>
    <n v="220"/>
    <n v="1100"/>
    <n v="600"/>
    <n v="500"/>
  </r>
  <r>
    <x v="264"/>
    <x v="197"/>
    <x v="1"/>
    <x v="3"/>
    <x v="6"/>
    <n v="11"/>
    <n v="990"/>
    <n v="10890"/>
    <n v="6820"/>
    <n v="4070"/>
  </r>
  <r>
    <x v="265"/>
    <x v="151"/>
    <x v="0"/>
    <x v="2"/>
    <x v="10"/>
    <n v="10"/>
    <n v="1200"/>
    <n v="12000"/>
    <n v="7200"/>
    <n v="4800"/>
  </r>
  <r>
    <x v="266"/>
    <x v="198"/>
    <x v="4"/>
    <x v="1"/>
    <x v="1"/>
    <n v="6"/>
    <n v="225"/>
    <n v="1350"/>
    <n v="780"/>
    <n v="570"/>
  </r>
  <r>
    <x v="267"/>
    <x v="196"/>
    <x v="2"/>
    <x v="1"/>
    <x v="13"/>
    <n v="9"/>
    <n v="150"/>
    <n v="1350"/>
    <n v="585"/>
    <n v="765"/>
  </r>
  <r>
    <x v="268"/>
    <x v="199"/>
    <x v="4"/>
    <x v="1"/>
    <x v="13"/>
    <n v="3"/>
    <n v="150"/>
    <n v="450"/>
    <n v="195"/>
    <n v="255"/>
  </r>
  <r>
    <x v="269"/>
    <x v="176"/>
    <x v="3"/>
    <x v="0"/>
    <x v="17"/>
    <n v="9"/>
    <n v="1300"/>
    <n v="11700"/>
    <n v="7380"/>
    <n v="4320"/>
  </r>
  <r>
    <x v="270"/>
    <x v="32"/>
    <x v="4"/>
    <x v="0"/>
    <x v="9"/>
    <n v="3"/>
    <n v="700"/>
    <n v="2100"/>
    <n v="1230"/>
    <n v="870"/>
  </r>
  <r>
    <x v="271"/>
    <x v="138"/>
    <x v="3"/>
    <x v="0"/>
    <x v="7"/>
    <n v="2"/>
    <n v="600"/>
    <n v="1200"/>
    <n v="660"/>
    <n v="540"/>
  </r>
  <r>
    <x v="272"/>
    <x v="200"/>
    <x v="1"/>
    <x v="3"/>
    <x v="6"/>
    <n v="11"/>
    <n v="1100"/>
    <n v="12100"/>
    <n v="6820"/>
    <n v="5280"/>
  </r>
  <r>
    <x v="273"/>
    <x v="160"/>
    <x v="4"/>
    <x v="3"/>
    <x v="14"/>
    <n v="10"/>
    <n v="5800"/>
    <n v="58000"/>
    <n v="42000"/>
    <n v="16000"/>
  </r>
  <r>
    <x v="274"/>
    <x v="170"/>
    <x v="0"/>
    <x v="2"/>
    <x v="2"/>
    <n v="3"/>
    <n v="9500"/>
    <n v="28500"/>
    <n v="22800"/>
    <n v="5700"/>
  </r>
  <r>
    <x v="275"/>
    <x v="24"/>
    <x v="0"/>
    <x v="0"/>
    <x v="12"/>
    <n v="10"/>
    <n v="550"/>
    <n v="5500"/>
    <n v="3000"/>
    <n v="2500"/>
  </r>
  <r>
    <x v="276"/>
    <x v="201"/>
    <x v="0"/>
    <x v="2"/>
    <x v="8"/>
    <n v="5"/>
    <n v="900"/>
    <n v="4500"/>
    <n v="2600"/>
    <n v="1900"/>
  </r>
  <r>
    <x v="277"/>
    <x v="11"/>
    <x v="2"/>
    <x v="1"/>
    <x v="13"/>
    <n v="9"/>
    <n v="142.5"/>
    <n v="1282.5"/>
    <n v="585"/>
    <n v="697.5"/>
  </r>
  <r>
    <x v="278"/>
    <x v="83"/>
    <x v="1"/>
    <x v="0"/>
    <x v="17"/>
    <n v="11"/>
    <n v="1300"/>
    <n v="14300"/>
    <n v="9020"/>
    <n v="5280"/>
  </r>
  <r>
    <x v="279"/>
    <x v="143"/>
    <x v="3"/>
    <x v="1"/>
    <x v="13"/>
    <n v="11"/>
    <n v="150"/>
    <n v="1650"/>
    <n v="715"/>
    <n v="935"/>
  </r>
  <r>
    <x v="280"/>
    <x v="144"/>
    <x v="4"/>
    <x v="3"/>
    <x v="11"/>
    <n v="12"/>
    <n v="8500"/>
    <n v="102000"/>
    <n v="78000"/>
    <n v="24000"/>
  </r>
  <r>
    <x v="281"/>
    <x v="1"/>
    <x v="4"/>
    <x v="1"/>
    <x v="3"/>
    <n v="5"/>
    <n v="171"/>
    <n v="855"/>
    <n v="400"/>
    <n v="455"/>
  </r>
  <r>
    <x v="282"/>
    <x v="202"/>
    <x v="3"/>
    <x v="0"/>
    <x v="12"/>
    <n v="6"/>
    <n v="550"/>
    <n v="3300"/>
    <n v="1800"/>
    <n v="1500"/>
  </r>
  <r>
    <x v="283"/>
    <x v="203"/>
    <x v="2"/>
    <x v="2"/>
    <x v="8"/>
    <n v="7"/>
    <n v="900"/>
    <n v="6300"/>
    <n v="3640"/>
    <n v="2660"/>
  </r>
  <r>
    <x v="284"/>
    <x v="55"/>
    <x v="0"/>
    <x v="2"/>
    <x v="19"/>
    <n v="11"/>
    <n v="1620"/>
    <n v="17820"/>
    <n v="12650"/>
    <n v="5170"/>
  </r>
  <r>
    <x v="285"/>
    <x v="190"/>
    <x v="0"/>
    <x v="3"/>
    <x v="14"/>
    <n v="8"/>
    <n v="5800"/>
    <n v="46400"/>
    <n v="33600"/>
    <n v="12800"/>
  </r>
  <r>
    <x v="286"/>
    <x v="57"/>
    <x v="0"/>
    <x v="1"/>
    <x v="18"/>
    <n v="1"/>
    <n v="220"/>
    <n v="220"/>
    <n v="120"/>
    <n v="100"/>
  </r>
  <r>
    <x v="287"/>
    <x v="57"/>
    <x v="1"/>
    <x v="2"/>
    <x v="8"/>
    <n v="5"/>
    <n v="900"/>
    <n v="4500"/>
    <n v="2600"/>
    <n v="1900"/>
  </r>
  <r>
    <x v="288"/>
    <x v="150"/>
    <x v="4"/>
    <x v="1"/>
    <x v="16"/>
    <n v="2"/>
    <n v="320"/>
    <n v="640"/>
    <n v="420"/>
    <n v="220"/>
  </r>
  <r>
    <x v="289"/>
    <x v="74"/>
    <x v="3"/>
    <x v="1"/>
    <x v="13"/>
    <n v="5"/>
    <n v="150"/>
    <n v="750"/>
    <n v="325"/>
    <n v="425"/>
  </r>
  <r>
    <x v="290"/>
    <x v="204"/>
    <x v="4"/>
    <x v="2"/>
    <x v="4"/>
    <n v="4"/>
    <n v="650"/>
    <n v="2600"/>
    <n v="1520"/>
    <n v="1080"/>
  </r>
  <r>
    <x v="291"/>
    <x v="205"/>
    <x v="3"/>
    <x v="2"/>
    <x v="10"/>
    <n v="12"/>
    <n v="1200"/>
    <n v="14400"/>
    <n v="8640"/>
    <n v="5760"/>
  </r>
  <r>
    <x v="292"/>
    <x v="206"/>
    <x v="3"/>
    <x v="2"/>
    <x v="10"/>
    <n v="2"/>
    <n v="1140"/>
    <n v="2280"/>
    <n v="1440"/>
    <n v="840"/>
  </r>
  <r>
    <x v="293"/>
    <x v="207"/>
    <x v="4"/>
    <x v="1"/>
    <x v="18"/>
    <n v="1"/>
    <n v="220"/>
    <n v="220"/>
    <n v="120"/>
    <n v="100"/>
  </r>
  <r>
    <x v="294"/>
    <x v="208"/>
    <x v="0"/>
    <x v="2"/>
    <x v="10"/>
    <n v="8"/>
    <n v="1200"/>
    <n v="9600"/>
    <n v="5760"/>
    <n v="3840"/>
  </r>
  <r>
    <x v="295"/>
    <x v="58"/>
    <x v="2"/>
    <x v="0"/>
    <x v="12"/>
    <n v="9"/>
    <n v="550"/>
    <n v="4950"/>
    <n v="2700"/>
    <n v="2250"/>
  </r>
  <r>
    <x v="296"/>
    <x v="93"/>
    <x v="1"/>
    <x v="1"/>
    <x v="1"/>
    <n v="4"/>
    <n v="237.5"/>
    <n v="950"/>
    <n v="520"/>
    <n v="430"/>
  </r>
  <r>
    <x v="297"/>
    <x v="56"/>
    <x v="2"/>
    <x v="2"/>
    <x v="4"/>
    <n v="12"/>
    <n v="650"/>
    <n v="7800"/>
    <n v="4560"/>
    <n v="3240"/>
  </r>
  <r>
    <x v="298"/>
    <x v="209"/>
    <x v="2"/>
    <x v="0"/>
    <x v="9"/>
    <n v="8"/>
    <n v="700"/>
    <n v="5600"/>
    <n v="3280"/>
    <n v="2320"/>
  </r>
  <r>
    <x v="299"/>
    <x v="128"/>
    <x v="3"/>
    <x v="3"/>
    <x v="14"/>
    <n v="2"/>
    <n v="5510"/>
    <n v="11020"/>
    <n v="8400"/>
    <n v="2620"/>
  </r>
  <r>
    <x v="300"/>
    <x v="210"/>
    <x v="1"/>
    <x v="1"/>
    <x v="1"/>
    <n v="11"/>
    <n v="237.5"/>
    <n v="2612.5"/>
    <n v="1430"/>
    <n v="1182.5"/>
  </r>
  <r>
    <x v="301"/>
    <x v="82"/>
    <x v="0"/>
    <x v="1"/>
    <x v="18"/>
    <n v="3"/>
    <n v="220"/>
    <n v="660"/>
    <n v="360"/>
    <n v="300"/>
  </r>
  <r>
    <x v="302"/>
    <x v="5"/>
    <x v="2"/>
    <x v="1"/>
    <x v="3"/>
    <n v="2"/>
    <n v="180"/>
    <n v="360"/>
    <n v="160"/>
    <n v="200"/>
  </r>
  <r>
    <x v="303"/>
    <x v="211"/>
    <x v="3"/>
    <x v="1"/>
    <x v="13"/>
    <n v="1"/>
    <n v="135"/>
    <n v="135"/>
    <n v="65"/>
    <n v="70"/>
  </r>
  <r>
    <x v="304"/>
    <x v="212"/>
    <x v="3"/>
    <x v="2"/>
    <x v="19"/>
    <n v="1"/>
    <n v="1800"/>
    <n v="1800"/>
    <n v="1150"/>
    <n v="650"/>
  </r>
  <r>
    <x v="305"/>
    <x v="40"/>
    <x v="2"/>
    <x v="2"/>
    <x v="8"/>
    <n v="2"/>
    <n v="900"/>
    <n v="1800"/>
    <n v="1040"/>
    <n v="760"/>
  </r>
  <r>
    <x v="306"/>
    <x v="213"/>
    <x v="3"/>
    <x v="0"/>
    <x v="12"/>
    <n v="2"/>
    <n v="522.5"/>
    <n v="1045"/>
    <n v="600"/>
    <n v="445"/>
  </r>
  <r>
    <x v="307"/>
    <x v="214"/>
    <x v="3"/>
    <x v="3"/>
    <x v="14"/>
    <n v="12"/>
    <n v="5800"/>
    <n v="69600"/>
    <n v="50400"/>
    <n v="19200"/>
  </r>
  <r>
    <x v="308"/>
    <x v="117"/>
    <x v="2"/>
    <x v="0"/>
    <x v="9"/>
    <n v="10"/>
    <n v="700"/>
    <n v="7000"/>
    <n v="4100"/>
    <n v="2900"/>
  </r>
  <r>
    <x v="309"/>
    <x v="215"/>
    <x v="1"/>
    <x v="1"/>
    <x v="18"/>
    <n v="3"/>
    <n v="209"/>
    <n v="627"/>
    <n v="360"/>
    <n v="267"/>
  </r>
  <r>
    <x v="310"/>
    <x v="184"/>
    <x v="4"/>
    <x v="2"/>
    <x v="8"/>
    <n v="12"/>
    <n v="855"/>
    <n v="10260"/>
    <n v="6240"/>
    <n v="4020"/>
  </r>
  <r>
    <x v="311"/>
    <x v="189"/>
    <x v="2"/>
    <x v="1"/>
    <x v="13"/>
    <n v="10"/>
    <n v="150"/>
    <n v="1500"/>
    <n v="650"/>
    <n v="850"/>
  </r>
  <r>
    <x v="312"/>
    <x v="207"/>
    <x v="0"/>
    <x v="0"/>
    <x v="7"/>
    <n v="8"/>
    <n v="540"/>
    <n v="4320"/>
    <n v="2640"/>
    <n v="1680"/>
  </r>
  <r>
    <x v="313"/>
    <x v="46"/>
    <x v="2"/>
    <x v="2"/>
    <x v="10"/>
    <n v="11"/>
    <n v="1200"/>
    <n v="13200"/>
    <n v="7920"/>
    <n v="5280"/>
  </r>
  <r>
    <x v="314"/>
    <x v="216"/>
    <x v="1"/>
    <x v="2"/>
    <x v="8"/>
    <n v="11"/>
    <n v="810"/>
    <n v="8910"/>
    <n v="5720"/>
    <n v="3190"/>
  </r>
  <r>
    <x v="315"/>
    <x v="52"/>
    <x v="4"/>
    <x v="0"/>
    <x v="0"/>
    <n v="1"/>
    <n v="450"/>
    <n v="450"/>
    <n v="240"/>
    <n v="210"/>
  </r>
  <r>
    <x v="316"/>
    <x v="217"/>
    <x v="3"/>
    <x v="2"/>
    <x v="4"/>
    <n v="5"/>
    <n v="650"/>
    <n v="3250"/>
    <n v="1900"/>
    <n v="1350"/>
  </r>
  <r>
    <x v="317"/>
    <x v="185"/>
    <x v="2"/>
    <x v="2"/>
    <x v="8"/>
    <n v="7"/>
    <n v="900"/>
    <n v="6300"/>
    <n v="3640"/>
    <n v="2660"/>
  </r>
  <r>
    <x v="318"/>
    <x v="218"/>
    <x v="0"/>
    <x v="2"/>
    <x v="8"/>
    <n v="8"/>
    <n v="855"/>
    <n v="6840"/>
    <n v="4160"/>
    <n v="2680"/>
  </r>
  <r>
    <x v="319"/>
    <x v="219"/>
    <x v="3"/>
    <x v="2"/>
    <x v="10"/>
    <n v="8"/>
    <n v="1140"/>
    <n v="9120"/>
    <n v="5760"/>
    <n v="3360"/>
  </r>
  <r>
    <x v="320"/>
    <x v="211"/>
    <x v="3"/>
    <x v="1"/>
    <x v="3"/>
    <n v="10"/>
    <n v="162"/>
    <n v="1620"/>
    <n v="800"/>
    <n v="820"/>
  </r>
  <r>
    <x v="321"/>
    <x v="81"/>
    <x v="2"/>
    <x v="2"/>
    <x v="8"/>
    <n v="4"/>
    <n v="810"/>
    <n v="3240"/>
    <n v="2080"/>
    <n v="1160"/>
  </r>
  <r>
    <x v="322"/>
    <x v="19"/>
    <x v="2"/>
    <x v="0"/>
    <x v="7"/>
    <n v="7"/>
    <n v="570"/>
    <n v="3990"/>
    <n v="2310"/>
    <n v="1680"/>
  </r>
  <r>
    <x v="323"/>
    <x v="194"/>
    <x v="1"/>
    <x v="2"/>
    <x v="10"/>
    <n v="4"/>
    <n v="1140"/>
    <n v="4560"/>
    <n v="2880"/>
    <n v="1680"/>
  </r>
  <r>
    <x v="324"/>
    <x v="144"/>
    <x v="1"/>
    <x v="1"/>
    <x v="1"/>
    <n v="10"/>
    <n v="250"/>
    <n v="2500"/>
    <n v="1300"/>
    <n v="1200"/>
  </r>
  <r>
    <x v="325"/>
    <x v="129"/>
    <x v="4"/>
    <x v="3"/>
    <x v="5"/>
    <n v="3"/>
    <n v="5580"/>
    <n v="16740"/>
    <n v="13500"/>
    <n v="3240"/>
  </r>
  <r>
    <x v="326"/>
    <x v="51"/>
    <x v="4"/>
    <x v="3"/>
    <x v="14"/>
    <n v="10"/>
    <n v="5800"/>
    <n v="58000"/>
    <n v="42000"/>
    <n v="16000"/>
  </r>
  <r>
    <x v="327"/>
    <x v="143"/>
    <x v="1"/>
    <x v="1"/>
    <x v="1"/>
    <n v="3"/>
    <n v="225"/>
    <n v="675"/>
    <n v="390"/>
    <n v="285"/>
  </r>
  <r>
    <x v="328"/>
    <x v="91"/>
    <x v="4"/>
    <x v="2"/>
    <x v="8"/>
    <n v="2"/>
    <n v="810"/>
    <n v="1620"/>
    <n v="1040"/>
    <n v="580"/>
  </r>
  <r>
    <x v="329"/>
    <x v="35"/>
    <x v="2"/>
    <x v="1"/>
    <x v="16"/>
    <n v="8"/>
    <n v="304"/>
    <n v="2432"/>
    <n v="1680"/>
    <n v="752"/>
  </r>
  <r>
    <x v="330"/>
    <x v="37"/>
    <x v="3"/>
    <x v="0"/>
    <x v="0"/>
    <n v="12"/>
    <n v="427.5"/>
    <n v="5130"/>
    <n v="2880"/>
    <n v="2250"/>
  </r>
  <r>
    <x v="331"/>
    <x v="29"/>
    <x v="3"/>
    <x v="1"/>
    <x v="13"/>
    <n v="4"/>
    <n v="142.5"/>
    <n v="570"/>
    <n v="260"/>
    <n v="310"/>
  </r>
  <r>
    <x v="332"/>
    <x v="220"/>
    <x v="1"/>
    <x v="1"/>
    <x v="13"/>
    <n v="3"/>
    <n v="150"/>
    <n v="450"/>
    <n v="195"/>
    <n v="255"/>
  </r>
  <r>
    <x v="333"/>
    <x v="43"/>
    <x v="4"/>
    <x v="1"/>
    <x v="3"/>
    <n v="8"/>
    <n v="180"/>
    <n v="1440"/>
    <n v="640"/>
    <n v="800"/>
  </r>
  <r>
    <x v="334"/>
    <x v="221"/>
    <x v="4"/>
    <x v="0"/>
    <x v="17"/>
    <n v="6"/>
    <n v="1300"/>
    <n v="7800"/>
    <n v="4920"/>
    <n v="2880"/>
  </r>
  <r>
    <x v="335"/>
    <x v="222"/>
    <x v="1"/>
    <x v="0"/>
    <x v="7"/>
    <n v="4"/>
    <n v="600"/>
    <n v="2400"/>
    <n v="1320"/>
    <n v="1080"/>
  </r>
  <r>
    <x v="336"/>
    <x v="223"/>
    <x v="3"/>
    <x v="2"/>
    <x v="2"/>
    <n v="2"/>
    <n v="9500"/>
    <n v="19000"/>
    <n v="15200"/>
    <n v="3800"/>
  </r>
  <r>
    <x v="337"/>
    <x v="64"/>
    <x v="4"/>
    <x v="2"/>
    <x v="10"/>
    <n v="10"/>
    <n v="1200"/>
    <n v="12000"/>
    <n v="7200"/>
    <n v="4800"/>
  </r>
  <r>
    <x v="338"/>
    <x v="141"/>
    <x v="1"/>
    <x v="1"/>
    <x v="13"/>
    <n v="4"/>
    <n v="150"/>
    <n v="600"/>
    <n v="260"/>
    <n v="340"/>
  </r>
  <r>
    <x v="339"/>
    <x v="79"/>
    <x v="3"/>
    <x v="2"/>
    <x v="10"/>
    <n v="10"/>
    <n v="1140"/>
    <n v="11400"/>
    <n v="7200"/>
    <n v="4200"/>
  </r>
  <r>
    <x v="340"/>
    <x v="190"/>
    <x v="4"/>
    <x v="0"/>
    <x v="7"/>
    <n v="1"/>
    <n v="600"/>
    <n v="600"/>
    <n v="330"/>
    <n v="270"/>
  </r>
  <r>
    <x v="341"/>
    <x v="224"/>
    <x v="1"/>
    <x v="2"/>
    <x v="19"/>
    <n v="7"/>
    <n v="1800"/>
    <n v="12600"/>
    <n v="8050"/>
    <n v="4550"/>
  </r>
  <r>
    <x v="342"/>
    <x v="101"/>
    <x v="2"/>
    <x v="2"/>
    <x v="10"/>
    <n v="12"/>
    <n v="1080"/>
    <n v="12960"/>
    <n v="8640"/>
    <n v="4320"/>
  </r>
  <r>
    <x v="343"/>
    <x v="225"/>
    <x v="1"/>
    <x v="0"/>
    <x v="0"/>
    <n v="7"/>
    <n v="427.5"/>
    <n v="2992.5"/>
    <n v="1680"/>
    <n v="1312.5"/>
  </r>
  <r>
    <x v="344"/>
    <x v="214"/>
    <x v="0"/>
    <x v="3"/>
    <x v="6"/>
    <n v="10"/>
    <n v="1100"/>
    <n v="11000"/>
    <n v="6200"/>
    <n v="4800"/>
  </r>
  <r>
    <x v="345"/>
    <x v="100"/>
    <x v="4"/>
    <x v="2"/>
    <x v="2"/>
    <n v="9"/>
    <n v="9025"/>
    <n v="81225"/>
    <n v="68400"/>
    <n v="12825"/>
  </r>
  <r>
    <x v="346"/>
    <x v="37"/>
    <x v="4"/>
    <x v="0"/>
    <x v="7"/>
    <n v="1"/>
    <n v="600"/>
    <n v="600"/>
    <n v="330"/>
    <n v="270"/>
  </r>
  <r>
    <x v="347"/>
    <x v="33"/>
    <x v="4"/>
    <x v="2"/>
    <x v="4"/>
    <n v="7"/>
    <n v="617.5"/>
    <n v="4322.5"/>
    <n v="2660"/>
    <n v="1662.5"/>
  </r>
  <r>
    <x v="348"/>
    <x v="96"/>
    <x v="1"/>
    <x v="1"/>
    <x v="18"/>
    <n v="8"/>
    <n v="220"/>
    <n v="1760"/>
    <n v="960"/>
    <n v="800"/>
  </r>
  <r>
    <x v="349"/>
    <x v="226"/>
    <x v="3"/>
    <x v="2"/>
    <x v="10"/>
    <n v="8"/>
    <n v="1200"/>
    <n v="9600"/>
    <n v="5760"/>
    <n v="3840"/>
  </r>
  <r>
    <x v="350"/>
    <x v="227"/>
    <x v="1"/>
    <x v="0"/>
    <x v="7"/>
    <n v="2"/>
    <n v="600"/>
    <n v="1200"/>
    <n v="660"/>
    <n v="540"/>
  </r>
  <r>
    <x v="351"/>
    <x v="228"/>
    <x v="3"/>
    <x v="2"/>
    <x v="10"/>
    <n v="11"/>
    <n v="1200"/>
    <n v="13200"/>
    <n v="7920"/>
    <n v="5280"/>
  </r>
  <r>
    <x v="352"/>
    <x v="67"/>
    <x v="1"/>
    <x v="3"/>
    <x v="6"/>
    <n v="2"/>
    <n v="1045"/>
    <n v="2090"/>
    <n v="1240"/>
    <n v="850"/>
  </r>
  <r>
    <x v="353"/>
    <x v="229"/>
    <x v="0"/>
    <x v="0"/>
    <x v="9"/>
    <n v="1"/>
    <n v="700"/>
    <n v="700"/>
    <n v="410"/>
    <n v="290"/>
  </r>
  <r>
    <x v="354"/>
    <x v="4"/>
    <x v="4"/>
    <x v="0"/>
    <x v="17"/>
    <n v="4"/>
    <n v="1170"/>
    <n v="4680"/>
    <n v="3280"/>
    <n v="1400"/>
  </r>
  <r>
    <x v="355"/>
    <x v="97"/>
    <x v="4"/>
    <x v="3"/>
    <x v="11"/>
    <n v="10"/>
    <n v="7650"/>
    <n v="76500"/>
    <n v="65000"/>
    <n v="11500"/>
  </r>
  <r>
    <x v="356"/>
    <x v="44"/>
    <x v="1"/>
    <x v="2"/>
    <x v="8"/>
    <n v="12"/>
    <n v="855"/>
    <n v="10260"/>
    <n v="6240"/>
    <n v="4020"/>
  </r>
  <r>
    <x v="357"/>
    <x v="157"/>
    <x v="2"/>
    <x v="3"/>
    <x v="14"/>
    <n v="2"/>
    <n v="5220"/>
    <n v="10440"/>
    <n v="8400"/>
    <n v="2040"/>
  </r>
  <r>
    <x v="358"/>
    <x v="230"/>
    <x v="1"/>
    <x v="3"/>
    <x v="5"/>
    <n v="4"/>
    <n v="6200"/>
    <n v="24800"/>
    <n v="18000"/>
    <n v="6800"/>
  </r>
  <r>
    <x v="359"/>
    <x v="231"/>
    <x v="0"/>
    <x v="1"/>
    <x v="18"/>
    <n v="7"/>
    <n v="220"/>
    <n v="1540"/>
    <n v="840"/>
    <n v="700"/>
  </r>
  <r>
    <x v="360"/>
    <x v="232"/>
    <x v="1"/>
    <x v="0"/>
    <x v="17"/>
    <n v="8"/>
    <n v="1170"/>
    <n v="9360"/>
    <n v="6560"/>
    <n v="2800"/>
  </r>
  <r>
    <x v="361"/>
    <x v="233"/>
    <x v="4"/>
    <x v="3"/>
    <x v="6"/>
    <n v="12"/>
    <n v="990"/>
    <n v="11880"/>
    <n v="7440"/>
    <n v="4440"/>
  </r>
  <r>
    <x v="362"/>
    <x v="234"/>
    <x v="3"/>
    <x v="2"/>
    <x v="2"/>
    <n v="12"/>
    <n v="9025"/>
    <n v="108300"/>
    <n v="91200"/>
    <n v="17100"/>
  </r>
  <r>
    <x v="363"/>
    <x v="149"/>
    <x v="4"/>
    <x v="3"/>
    <x v="11"/>
    <n v="4"/>
    <n v="7650"/>
    <n v="30600"/>
    <n v="26000"/>
    <n v="4600"/>
  </r>
  <r>
    <x v="364"/>
    <x v="232"/>
    <x v="1"/>
    <x v="2"/>
    <x v="2"/>
    <n v="2"/>
    <n v="9500"/>
    <n v="19000"/>
    <n v="15200"/>
    <n v="3800"/>
  </r>
  <r>
    <x v="365"/>
    <x v="125"/>
    <x v="4"/>
    <x v="2"/>
    <x v="19"/>
    <n v="11"/>
    <n v="1620"/>
    <n v="17820"/>
    <n v="12650"/>
    <n v="5170"/>
  </r>
  <r>
    <x v="366"/>
    <x v="189"/>
    <x v="0"/>
    <x v="2"/>
    <x v="19"/>
    <n v="9"/>
    <n v="1800"/>
    <n v="16200"/>
    <n v="10350"/>
    <n v="5850"/>
  </r>
  <r>
    <x v="367"/>
    <x v="200"/>
    <x v="1"/>
    <x v="2"/>
    <x v="8"/>
    <n v="7"/>
    <n v="900"/>
    <n v="6300"/>
    <n v="3640"/>
    <n v="2660"/>
  </r>
  <r>
    <x v="368"/>
    <x v="235"/>
    <x v="3"/>
    <x v="0"/>
    <x v="9"/>
    <n v="6"/>
    <n v="700"/>
    <n v="4200"/>
    <n v="2460"/>
    <n v="1740"/>
  </r>
  <r>
    <x v="369"/>
    <x v="28"/>
    <x v="3"/>
    <x v="0"/>
    <x v="0"/>
    <n v="2"/>
    <n v="427.5"/>
    <n v="855"/>
    <n v="480"/>
    <n v="375"/>
  </r>
  <r>
    <x v="370"/>
    <x v="81"/>
    <x v="1"/>
    <x v="3"/>
    <x v="6"/>
    <n v="4"/>
    <n v="1100"/>
    <n v="4400"/>
    <n v="2480"/>
    <n v="1920"/>
  </r>
  <r>
    <x v="371"/>
    <x v="79"/>
    <x v="4"/>
    <x v="0"/>
    <x v="17"/>
    <n v="10"/>
    <n v="1300"/>
    <n v="13000"/>
    <n v="8200"/>
    <n v="4800"/>
  </r>
  <r>
    <x v="372"/>
    <x v="236"/>
    <x v="1"/>
    <x v="2"/>
    <x v="4"/>
    <n v="2"/>
    <n v="617.5"/>
    <n v="1235"/>
    <n v="760"/>
    <n v="475"/>
  </r>
  <r>
    <x v="373"/>
    <x v="237"/>
    <x v="4"/>
    <x v="3"/>
    <x v="11"/>
    <n v="9"/>
    <n v="8500"/>
    <n v="76500"/>
    <n v="58500"/>
    <n v="18000"/>
  </r>
  <r>
    <x v="374"/>
    <x v="109"/>
    <x v="3"/>
    <x v="2"/>
    <x v="8"/>
    <n v="10"/>
    <n v="900"/>
    <n v="9000"/>
    <n v="5200"/>
    <n v="3800"/>
  </r>
  <r>
    <x v="375"/>
    <x v="238"/>
    <x v="1"/>
    <x v="2"/>
    <x v="4"/>
    <n v="12"/>
    <n v="617.5"/>
    <n v="7410"/>
    <n v="4560"/>
    <n v="2850"/>
  </r>
  <r>
    <x v="376"/>
    <x v="239"/>
    <x v="1"/>
    <x v="1"/>
    <x v="16"/>
    <n v="2"/>
    <n v="304"/>
    <n v="608"/>
    <n v="420"/>
    <n v="188"/>
  </r>
  <r>
    <x v="377"/>
    <x v="131"/>
    <x v="4"/>
    <x v="0"/>
    <x v="7"/>
    <n v="6"/>
    <n v="570"/>
    <n v="3420"/>
    <n v="1980"/>
    <n v="1440"/>
  </r>
  <r>
    <x v="378"/>
    <x v="102"/>
    <x v="1"/>
    <x v="1"/>
    <x v="3"/>
    <n v="10"/>
    <n v="180"/>
    <n v="1800"/>
    <n v="800"/>
    <n v="1000"/>
  </r>
  <r>
    <x v="379"/>
    <x v="240"/>
    <x v="0"/>
    <x v="1"/>
    <x v="3"/>
    <n v="8"/>
    <n v="171"/>
    <n v="1368"/>
    <n v="640"/>
    <n v="728"/>
  </r>
  <r>
    <x v="380"/>
    <x v="61"/>
    <x v="3"/>
    <x v="3"/>
    <x v="6"/>
    <n v="1"/>
    <n v="1045"/>
    <n v="1045"/>
    <n v="620"/>
    <n v="425"/>
  </r>
  <r>
    <x v="381"/>
    <x v="241"/>
    <x v="4"/>
    <x v="0"/>
    <x v="0"/>
    <n v="1"/>
    <n v="450"/>
    <n v="450"/>
    <n v="240"/>
    <n v="210"/>
  </r>
  <r>
    <x v="382"/>
    <x v="242"/>
    <x v="4"/>
    <x v="1"/>
    <x v="3"/>
    <n v="8"/>
    <n v="171"/>
    <n v="1368"/>
    <n v="640"/>
    <n v="728"/>
  </r>
  <r>
    <x v="383"/>
    <x v="36"/>
    <x v="2"/>
    <x v="0"/>
    <x v="17"/>
    <n v="5"/>
    <n v="1300"/>
    <n v="6500"/>
    <n v="4100"/>
    <n v="2400"/>
  </r>
  <r>
    <x v="384"/>
    <x v="1"/>
    <x v="1"/>
    <x v="1"/>
    <x v="16"/>
    <n v="9"/>
    <n v="320"/>
    <n v="2880"/>
    <n v="1890"/>
    <n v="990"/>
  </r>
  <r>
    <x v="385"/>
    <x v="76"/>
    <x v="2"/>
    <x v="3"/>
    <x v="5"/>
    <n v="5"/>
    <n v="5890"/>
    <n v="29450"/>
    <n v="22500"/>
    <n v="6950"/>
  </r>
  <r>
    <x v="386"/>
    <x v="162"/>
    <x v="4"/>
    <x v="1"/>
    <x v="1"/>
    <n v="12"/>
    <n v="225"/>
    <n v="2700"/>
    <n v="1560"/>
    <n v="1140"/>
  </r>
  <r>
    <x v="387"/>
    <x v="151"/>
    <x v="0"/>
    <x v="1"/>
    <x v="3"/>
    <n v="3"/>
    <n v="180"/>
    <n v="540"/>
    <n v="240"/>
    <n v="300"/>
  </r>
  <r>
    <x v="388"/>
    <x v="73"/>
    <x v="2"/>
    <x v="3"/>
    <x v="6"/>
    <n v="8"/>
    <n v="1045"/>
    <n v="8360"/>
    <n v="4960"/>
    <n v="3400"/>
  </r>
  <r>
    <x v="389"/>
    <x v="131"/>
    <x v="2"/>
    <x v="3"/>
    <x v="11"/>
    <n v="9"/>
    <n v="7650"/>
    <n v="68850"/>
    <n v="58500"/>
    <n v="10350"/>
  </r>
  <r>
    <x v="390"/>
    <x v="125"/>
    <x v="3"/>
    <x v="2"/>
    <x v="8"/>
    <n v="1"/>
    <n v="900"/>
    <n v="900"/>
    <n v="520"/>
    <n v="380"/>
  </r>
  <r>
    <x v="391"/>
    <x v="243"/>
    <x v="0"/>
    <x v="2"/>
    <x v="4"/>
    <n v="8"/>
    <n v="617.5"/>
    <n v="4940"/>
    <n v="3040"/>
    <n v="1900"/>
  </r>
  <r>
    <x v="392"/>
    <x v="151"/>
    <x v="4"/>
    <x v="3"/>
    <x v="6"/>
    <n v="5"/>
    <n v="1100"/>
    <n v="5500"/>
    <n v="3100"/>
    <n v="2400"/>
  </r>
  <r>
    <x v="393"/>
    <x v="104"/>
    <x v="2"/>
    <x v="2"/>
    <x v="8"/>
    <n v="8"/>
    <n v="900"/>
    <n v="7200"/>
    <n v="4160"/>
    <n v="3040"/>
  </r>
  <r>
    <x v="394"/>
    <x v="244"/>
    <x v="2"/>
    <x v="1"/>
    <x v="16"/>
    <n v="7"/>
    <n v="320"/>
    <n v="2240"/>
    <n v="1470"/>
    <n v="770"/>
  </r>
  <r>
    <x v="395"/>
    <x v="226"/>
    <x v="4"/>
    <x v="3"/>
    <x v="15"/>
    <n v="1"/>
    <n v="3990"/>
    <n v="3990"/>
    <n v="2900"/>
    <n v="1090"/>
  </r>
  <r>
    <x v="396"/>
    <x v="94"/>
    <x v="3"/>
    <x v="2"/>
    <x v="4"/>
    <n v="2"/>
    <n v="585"/>
    <n v="1170"/>
    <n v="760"/>
    <n v="410"/>
  </r>
  <r>
    <x v="397"/>
    <x v="245"/>
    <x v="2"/>
    <x v="1"/>
    <x v="1"/>
    <n v="12"/>
    <n v="250"/>
    <n v="3000"/>
    <n v="1560"/>
    <n v="1440"/>
  </r>
  <r>
    <x v="398"/>
    <x v="71"/>
    <x v="3"/>
    <x v="1"/>
    <x v="16"/>
    <n v="12"/>
    <n v="320"/>
    <n v="3840"/>
    <n v="2520"/>
    <n v="1320"/>
  </r>
  <r>
    <x v="399"/>
    <x v="246"/>
    <x v="1"/>
    <x v="3"/>
    <x v="6"/>
    <n v="4"/>
    <n v="1100"/>
    <n v="4400"/>
    <n v="2480"/>
    <n v="1920"/>
  </r>
  <r>
    <x v="400"/>
    <x v="178"/>
    <x v="1"/>
    <x v="1"/>
    <x v="13"/>
    <n v="4"/>
    <n v="135"/>
    <n v="540"/>
    <n v="260"/>
    <n v="280"/>
  </r>
  <r>
    <x v="401"/>
    <x v="247"/>
    <x v="1"/>
    <x v="1"/>
    <x v="3"/>
    <n v="4"/>
    <n v="162"/>
    <n v="648"/>
    <n v="320"/>
    <n v="328"/>
  </r>
  <r>
    <x v="402"/>
    <x v="211"/>
    <x v="1"/>
    <x v="3"/>
    <x v="5"/>
    <n v="10"/>
    <n v="5580"/>
    <n v="55800"/>
    <n v="45000"/>
    <n v="10800"/>
  </r>
  <r>
    <x v="403"/>
    <x v="33"/>
    <x v="4"/>
    <x v="1"/>
    <x v="3"/>
    <n v="12"/>
    <n v="180"/>
    <n v="2160"/>
    <n v="960"/>
    <n v="1200"/>
  </r>
  <r>
    <x v="404"/>
    <x v="248"/>
    <x v="1"/>
    <x v="1"/>
    <x v="18"/>
    <n v="10"/>
    <n v="220"/>
    <n v="2200"/>
    <n v="1200"/>
    <n v="1000"/>
  </r>
  <r>
    <x v="405"/>
    <x v="249"/>
    <x v="1"/>
    <x v="3"/>
    <x v="15"/>
    <n v="2"/>
    <n v="3990"/>
    <n v="7980"/>
    <n v="5800"/>
    <n v="2180"/>
  </r>
  <r>
    <x v="406"/>
    <x v="250"/>
    <x v="1"/>
    <x v="3"/>
    <x v="14"/>
    <n v="8"/>
    <n v="5220"/>
    <n v="41760"/>
    <n v="33600"/>
    <n v="8160"/>
  </r>
  <r>
    <x v="407"/>
    <x v="46"/>
    <x v="0"/>
    <x v="2"/>
    <x v="8"/>
    <n v="3"/>
    <n v="900"/>
    <n v="2700"/>
    <n v="1560"/>
    <n v="1140"/>
  </r>
  <r>
    <x v="408"/>
    <x v="21"/>
    <x v="1"/>
    <x v="0"/>
    <x v="12"/>
    <n v="11"/>
    <n v="522.5"/>
    <n v="5747.5"/>
    <n v="3300"/>
    <n v="2447.5"/>
  </r>
  <r>
    <x v="409"/>
    <x v="251"/>
    <x v="1"/>
    <x v="1"/>
    <x v="3"/>
    <n v="2"/>
    <n v="180"/>
    <n v="360"/>
    <n v="160"/>
    <n v="200"/>
  </r>
  <r>
    <x v="410"/>
    <x v="107"/>
    <x v="4"/>
    <x v="2"/>
    <x v="10"/>
    <n v="2"/>
    <n v="1140"/>
    <n v="2280"/>
    <n v="1440"/>
    <n v="840"/>
  </r>
  <r>
    <x v="411"/>
    <x v="34"/>
    <x v="1"/>
    <x v="2"/>
    <x v="8"/>
    <n v="12"/>
    <n v="900"/>
    <n v="10800"/>
    <n v="6240"/>
    <n v="4560"/>
  </r>
  <r>
    <x v="412"/>
    <x v="213"/>
    <x v="4"/>
    <x v="1"/>
    <x v="13"/>
    <n v="3"/>
    <n v="150"/>
    <n v="450"/>
    <n v="195"/>
    <n v="255"/>
  </r>
  <r>
    <x v="413"/>
    <x v="252"/>
    <x v="1"/>
    <x v="1"/>
    <x v="1"/>
    <n v="7"/>
    <n v="250"/>
    <n v="1750"/>
    <n v="910"/>
    <n v="840"/>
  </r>
  <r>
    <x v="414"/>
    <x v="31"/>
    <x v="2"/>
    <x v="0"/>
    <x v="12"/>
    <n v="7"/>
    <n v="550"/>
    <n v="3850"/>
    <n v="2100"/>
    <n v="1750"/>
  </r>
  <r>
    <x v="415"/>
    <x v="182"/>
    <x v="2"/>
    <x v="3"/>
    <x v="5"/>
    <n v="2"/>
    <n v="5890"/>
    <n v="11780"/>
    <n v="9000"/>
    <n v="2780"/>
  </r>
  <r>
    <x v="416"/>
    <x v="253"/>
    <x v="3"/>
    <x v="1"/>
    <x v="1"/>
    <n v="10"/>
    <n v="250"/>
    <n v="2500"/>
    <n v="1300"/>
    <n v="1200"/>
  </r>
  <r>
    <x v="417"/>
    <x v="254"/>
    <x v="0"/>
    <x v="2"/>
    <x v="10"/>
    <n v="4"/>
    <n v="1080"/>
    <n v="4320"/>
    <n v="2880"/>
    <n v="1440"/>
  </r>
  <r>
    <x v="418"/>
    <x v="255"/>
    <x v="1"/>
    <x v="3"/>
    <x v="6"/>
    <n v="1"/>
    <n v="1100"/>
    <n v="1100"/>
    <n v="620"/>
    <n v="480"/>
  </r>
  <r>
    <x v="419"/>
    <x v="164"/>
    <x v="1"/>
    <x v="1"/>
    <x v="3"/>
    <n v="3"/>
    <n v="180"/>
    <n v="540"/>
    <n v="240"/>
    <n v="300"/>
  </r>
  <r>
    <x v="420"/>
    <x v="79"/>
    <x v="0"/>
    <x v="1"/>
    <x v="1"/>
    <n v="8"/>
    <n v="250"/>
    <n v="2000"/>
    <n v="1040"/>
    <n v="960"/>
  </r>
  <r>
    <x v="421"/>
    <x v="126"/>
    <x v="4"/>
    <x v="2"/>
    <x v="4"/>
    <n v="12"/>
    <n v="617.5"/>
    <n v="7410"/>
    <n v="4560"/>
    <n v="2850"/>
  </r>
  <r>
    <x v="422"/>
    <x v="7"/>
    <x v="4"/>
    <x v="2"/>
    <x v="4"/>
    <n v="4"/>
    <n v="650"/>
    <n v="2600"/>
    <n v="1520"/>
    <n v="1080"/>
  </r>
  <r>
    <x v="423"/>
    <x v="131"/>
    <x v="1"/>
    <x v="2"/>
    <x v="8"/>
    <n v="9"/>
    <n v="900"/>
    <n v="8100"/>
    <n v="4680"/>
    <n v="3420"/>
  </r>
  <r>
    <x v="424"/>
    <x v="249"/>
    <x v="0"/>
    <x v="0"/>
    <x v="9"/>
    <n v="9"/>
    <n v="665"/>
    <n v="5985"/>
    <n v="3690"/>
    <n v="2295"/>
  </r>
  <r>
    <x v="425"/>
    <x v="256"/>
    <x v="0"/>
    <x v="2"/>
    <x v="4"/>
    <n v="7"/>
    <n v="650"/>
    <n v="4550"/>
    <n v="2660"/>
    <n v="1890"/>
  </r>
  <r>
    <x v="426"/>
    <x v="248"/>
    <x v="0"/>
    <x v="3"/>
    <x v="14"/>
    <n v="10"/>
    <n v="5510"/>
    <n v="55100"/>
    <n v="42000"/>
    <n v="13100"/>
  </r>
  <r>
    <x v="427"/>
    <x v="128"/>
    <x v="2"/>
    <x v="3"/>
    <x v="6"/>
    <n v="4"/>
    <n v="1045"/>
    <n v="4180"/>
    <n v="2480"/>
    <n v="1700"/>
  </r>
  <r>
    <x v="428"/>
    <x v="175"/>
    <x v="0"/>
    <x v="2"/>
    <x v="4"/>
    <n v="1"/>
    <n v="650"/>
    <n v="650"/>
    <n v="380"/>
    <n v="270"/>
  </r>
  <r>
    <x v="429"/>
    <x v="201"/>
    <x v="4"/>
    <x v="1"/>
    <x v="3"/>
    <n v="5"/>
    <n v="162"/>
    <n v="810"/>
    <n v="400"/>
    <n v="410"/>
  </r>
  <r>
    <x v="430"/>
    <x v="257"/>
    <x v="2"/>
    <x v="1"/>
    <x v="1"/>
    <n v="8"/>
    <n v="250"/>
    <n v="2000"/>
    <n v="1040"/>
    <n v="960"/>
  </r>
  <r>
    <x v="431"/>
    <x v="3"/>
    <x v="1"/>
    <x v="0"/>
    <x v="17"/>
    <n v="8"/>
    <n v="1235"/>
    <n v="9880"/>
    <n v="6560"/>
    <n v="3320"/>
  </r>
  <r>
    <x v="432"/>
    <x v="102"/>
    <x v="3"/>
    <x v="1"/>
    <x v="3"/>
    <n v="2"/>
    <n v="180"/>
    <n v="360"/>
    <n v="160"/>
    <n v="200"/>
  </r>
  <r>
    <x v="433"/>
    <x v="117"/>
    <x v="0"/>
    <x v="3"/>
    <x v="11"/>
    <n v="1"/>
    <n v="8500"/>
    <n v="8500"/>
    <n v="6500"/>
    <n v="2000"/>
  </r>
  <r>
    <x v="434"/>
    <x v="258"/>
    <x v="1"/>
    <x v="3"/>
    <x v="6"/>
    <n v="5"/>
    <n v="1100"/>
    <n v="5500"/>
    <n v="3100"/>
    <n v="2400"/>
  </r>
  <r>
    <x v="435"/>
    <x v="259"/>
    <x v="0"/>
    <x v="0"/>
    <x v="17"/>
    <n v="9"/>
    <n v="1300"/>
    <n v="11700"/>
    <n v="7380"/>
    <n v="4320"/>
  </r>
  <r>
    <x v="436"/>
    <x v="210"/>
    <x v="2"/>
    <x v="1"/>
    <x v="13"/>
    <n v="7"/>
    <n v="150"/>
    <n v="1050"/>
    <n v="455"/>
    <n v="595"/>
  </r>
  <r>
    <x v="437"/>
    <x v="100"/>
    <x v="3"/>
    <x v="3"/>
    <x v="11"/>
    <n v="11"/>
    <n v="8500"/>
    <n v="93500"/>
    <n v="71500"/>
    <n v="22000"/>
  </r>
  <r>
    <x v="438"/>
    <x v="175"/>
    <x v="3"/>
    <x v="0"/>
    <x v="7"/>
    <n v="10"/>
    <n v="600"/>
    <n v="6000"/>
    <n v="3300"/>
    <n v="2700"/>
  </r>
  <r>
    <x v="439"/>
    <x v="260"/>
    <x v="2"/>
    <x v="1"/>
    <x v="16"/>
    <n v="10"/>
    <n v="288"/>
    <n v="2880"/>
    <n v="2100"/>
    <n v="780"/>
  </r>
  <r>
    <x v="440"/>
    <x v="111"/>
    <x v="4"/>
    <x v="2"/>
    <x v="19"/>
    <n v="5"/>
    <n v="1800"/>
    <n v="9000"/>
    <n v="5750"/>
    <n v="3250"/>
  </r>
  <r>
    <x v="441"/>
    <x v="261"/>
    <x v="1"/>
    <x v="0"/>
    <x v="0"/>
    <n v="3"/>
    <n v="450"/>
    <n v="1350"/>
    <n v="720"/>
    <n v="630"/>
  </r>
  <r>
    <x v="442"/>
    <x v="243"/>
    <x v="1"/>
    <x v="2"/>
    <x v="19"/>
    <n v="11"/>
    <n v="1800"/>
    <n v="19800"/>
    <n v="12650"/>
    <n v="7150"/>
  </r>
  <r>
    <x v="443"/>
    <x v="164"/>
    <x v="3"/>
    <x v="1"/>
    <x v="18"/>
    <n v="2"/>
    <n v="209"/>
    <n v="418"/>
    <n v="240"/>
    <n v="178"/>
  </r>
  <r>
    <x v="444"/>
    <x v="47"/>
    <x v="4"/>
    <x v="2"/>
    <x v="10"/>
    <n v="9"/>
    <n v="1200"/>
    <n v="10800"/>
    <n v="6480"/>
    <n v="4320"/>
  </r>
  <r>
    <x v="445"/>
    <x v="173"/>
    <x v="4"/>
    <x v="0"/>
    <x v="0"/>
    <n v="2"/>
    <n v="427.5"/>
    <n v="855"/>
    <n v="480"/>
    <n v="375"/>
  </r>
  <r>
    <x v="446"/>
    <x v="262"/>
    <x v="0"/>
    <x v="2"/>
    <x v="19"/>
    <n v="6"/>
    <n v="1800"/>
    <n v="10800"/>
    <n v="6900"/>
    <n v="3900"/>
  </r>
  <r>
    <x v="447"/>
    <x v="161"/>
    <x v="1"/>
    <x v="1"/>
    <x v="13"/>
    <n v="10"/>
    <n v="142.5"/>
    <n v="1425"/>
    <n v="650"/>
    <n v="775"/>
  </r>
  <r>
    <x v="448"/>
    <x v="263"/>
    <x v="2"/>
    <x v="2"/>
    <x v="10"/>
    <n v="11"/>
    <n v="1200"/>
    <n v="13200"/>
    <n v="7920"/>
    <n v="5280"/>
  </r>
  <r>
    <x v="449"/>
    <x v="235"/>
    <x v="1"/>
    <x v="0"/>
    <x v="12"/>
    <n v="12"/>
    <n v="550"/>
    <n v="6600"/>
    <n v="3600"/>
    <n v="3000"/>
  </r>
  <r>
    <x v="450"/>
    <x v="18"/>
    <x v="1"/>
    <x v="1"/>
    <x v="13"/>
    <n v="8"/>
    <n v="135"/>
    <n v="1080"/>
    <n v="520"/>
    <n v="560"/>
  </r>
  <r>
    <x v="451"/>
    <x v="79"/>
    <x v="2"/>
    <x v="3"/>
    <x v="15"/>
    <n v="6"/>
    <n v="3780"/>
    <n v="22680"/>
    <n v="17400"/>
    <n v="5280"/>
  </r>
  <r>
    <x v="452"/>
    <x v="264"/>
    <x v="0"/>
    <x v="0"/>
    <x v="0"/>
    <n v="1"/>
    <n v="427.5"/>
    <n v="427.5"/>
    <n v="240"/>
    <n v="187.5"/>
  </r>
  <r>
    <x v="453"/>
    <x v="86"/>
    <x v="1"/>
    <x v="1"/>
    <x v="3"/>
    <n v="12"/>
    <n v="171"/>
    <n v="2052"/>
    <n v="960"/>
    <n v="1092"/>
  </r>
  <r>
    <x v="454"/>
    <x v="212"/>
    <x v="0"/>
    <x v="1"/>
    <x v="3"/>
    <n v="5"/>
    <n v="171"/>
    <n v="855"/>
    <n v="400"/>
    <n v="455"/>
  </r>
  <r>
    <x v="455"/>
    <x v="7"/>
    <x v="3"/>
    <x v="2"/>
    <x v="8"/>
    <n v="8"/>
    <n v="810"/>
    <n v="6480"/>
    <n v="4160"/>
    <n v="2320"/>
  </r>
  <r>
    <x v="456"/>
    <x v="239"/>
    <x v="4"/>
    <x v="3"/>
    <x v="15"/>
    <n v="9"/>
    <n v="3780"/>
    <n v="34020"/>
    <n v="26100"/>
    <n v="7920"/>
  </r>
  <r>
    <x v="457"/>
    <x v="229"/>
    <x v="2"/>
    <x v="2"/>
    <x v="10"/>
    <n v="1"/>
    <n v="1200"/>
    <n v="1200"/>
    <n v="720"/>
    <n v="480"/>
  </r>
  <r>
    <x v="458"/>
    <x v="17"/>
    <x v="0"/>
    <x v="1"/>
    <x v="13"/>
    <n v="2"/>
    <n v="150"/>
    <n v="300"/>
    <n v="130"/>
    <n v="170"/>
  </r>
  <r>
    <x v="459"/>
    <x v="167"/>
    <x v="1"/>
    <x v="2"/>
    <x v="19"/>
    <n v="10"/>
    <n v="1800"/>
    <n v="18000"/>
    <n v="11500"/>
    <n v="6500"/>
  </r>
  <r>
    <x v="460"/>
    <x v="247"/>
    <x v="3"/>
    <x v="0"/>
    <x v="0"/>
    <n v="5"/>
    <n v="405"/>
    <n v="2025"/>
    <n v="1200"/>
    <n v="825"/>
  </r>
  <r>
    <x v="461"/>
    <x v="113"/>
    <x v="1"/>
    <x v="2"/>
    <x v="10"/>
    <n v="6"/>
    <n v="1200"/>
    <n v="7200"/>
    <n v="4320"/>
    <n v="2880"/>
  </r>
  <r>
    <x v="462"/>
    <x v="265"/>
    <x v="1"/>
    <x v="0"/>
    <x v="12"/>
    <n v="8"/>
    <n v="550"/>
    <n v="4400"/>
    <n v="2400"/>
    <n v="2000"/>
  </r>
  <r>
    <x v="463"/>
    <x v="242"/>
    <x v="3"/>
    <x v="1"/>
    <x v="13"/>
    <n v="6"/>
    <n v="135"/>
    <n v="810"/>
    <n v="390"/>
    <n v="420"/>
  </r>
  <r>
    <x v="464"/>
    <x v="24"/>
    <x v="4"/>
    <x v="0"/>
    <x v="9"/>
    <n v="4"/>
    <n v="630"/>
    <n v="2520"/>
    <n v="1640"/>
    <n v="880"/>
  </r>
  <r>
    <x v="465"/>
    <x v="174"/>
    <x v="4"/>
    <x v="3"/>
    <x v="6"/>
    <n v="4"/>
    <n v="1100"/>
    <n v="4400"/>
    <n v="2480"/>
    <n v="1920"/>
  </r>
  <r>
    <x v="466"/>
    <x v="263"/>
    <x v="1"/>
    <x v="2"/>
    <x v="19"/>
    <n v="10"/>
    <n v="1710"/>
    <n v="17100"/>
    <n v="11500"/>
    <n v="5600"/>
  </r>
  <r>
    <x v="467"/>
    <x v="169"/>
    <x v="0"/>
    <x v="0"/>
    <x v="0"/>
    <n v="4"/>
    <n v="450"/>
    <n v="1800"/>
    <n v="960"/>
    <n v="840"/>
  </r>
  <r>
    <x v="468"/>
    <x v="211"/>
    <x v="2"/>
    <x v="0"/>
    <x v="17"/>
    <n v="1"/>
    <n v="1300"/>
    <n v="1300"/>
    <n v="820"/>
    <n v="480"/>
  </r>
  <r>
    <x v="469"/>
    <x v="266"/>
    <x v="0"/>
    <x v="3"/>
    <x v="6"/>
    <n v="1"/>
    <n v="990"/>
    <n v="990"/>
    <n v="620"/>
    <n v="370"/>
  </r>
  <r>
    <x v="470"/>
    <x v="267"/>
    <x v="0"/>
    <x v="0"/>
    <x v="9"/>
    <n v="1"/>
    <n v="700"/>
    <n v="700"/>
    <n v="410"/>
    <n v="290"/>
  </r>
  <r>
    <x v="471"/>
    <x v="195"/>
    <x v="4"/>
    <x v="0"/>
    <x v="17"/>
    <n v="2"/>
    <n v="1235"/>
    <n v="2470"/>
    <n v="1640"/>
    <n v="830"/>
  </r>
  <r>
    <x v="472"/>
    <x v="230"/>
    <x v="3"/>
    <x v="1"/>
    <x v="3"/>
    <n v="11"/>
    <n v="162"/>
    <n v="1782"/>
    <n v="880"/>
    <n v="902"/>
  </r>
  <r>
    <x v="473"/>
    <x v="228"/>
    <x v="2"/>
    <x v="0"/>
    <x v="17"/>
    <n v="9"/>
    <n v="1300"/>
    <n v="11700"/>
    <n v="7380"/>
    <n v="4320"/>
  </r>
  <r>
    <x v="474"/>
    <x v="268"/>
    <x v="1"/>
    <x v="0"/>
    <x v="12"/>
    <n v="1"/>
    <n v="550"/>
    <n v="550"/>
    <n v="300"/>
    <n v="250"/>
  </r>
  <r>
    <x v="475"/>
    <x v="269"/>
    <x v="2"/>
    <x v="1"/>
    <x v="1"/>
    <n v="7"/>
    <n v="237.5"/>
    <n v="1662.5"/>
    <n v="910"/>
    <n v="752.5"/>
  </r>
  <r>
    <x v="476"/>
    <x v="270"/>
    <x v="0"/>
    <x v="3"/>
    <x v="5"/>
    <n v="4"/>
    <n v="6200"/>
    <n v="24800"/>
    <n v="18000"/>
    <n v="6800"/>
  </r>
  <r>
    <x v="477"/>
    <x v="195"/>
    <x v="0"/>
    <x v="1"/>
    <x v="13"/>
    <n v="6"/>
    <n v="150"/>
    <n v="900"/>
    <n v="390"/>
    <n v="510"/>
  </r>
  <r>
    <x v="478"/>
    <x v="271"/>
    <x v="4"/>
    <x v="3"/>
    <x v="5"/>
    <n v="4"/>
    <n v="6200"/>
    <n v="24800"/>
    <n v="18000"/>
    <n v="6800"/>
  </r>
  <r>
    <x v="479"/>
    <x v="272"/>
    <x v="0"/>
    <x v="0"/>
    <x v="17"/>
    <n v="7"/>
    <n v="1235"/>
    <n v="8645"/>
    <n v="5740"/>
    <n v="2905"/>
  </r>
  <r>
    <x v="480"/>
    <x v="273"/>
    <x v="1"/>
    <x v="1"/>
    <x v="18"/>
    <n v="4"/>
    <n v="220"/>
    <n v="880"/>
    <n v="480"/>
    <n v="400"/>
  </r>
  <r>
    <x v="481"/>
    <x v="274"/>
    <x v="1"/>
    <x v="3"/>
    <x v="5"/>
    <n v="4"/>
    <n v="6200"/>
    <n v="24800"/>
    <n v="18000"/>
    <n v="6800"/>
  </r>
  <r>
    <x v="482"/>
    <x v="230"/>
    <x v="1"/>
    <x v="1"/>
    <x v="13"/>
    <n v="3"/>
    <n v="150"/>
    <n v="450"/>
    <n v="195"/>
    <n v="255"/>
  </r>
  <r>
    <x v="483"/>
    <x v="153"/>
    <x v="4"/>
    <x v="1"/>
    <x v="1"/>
    <n v="6"/>
    <n v="250"/>
    <n v="1500"/>
    <n v="780"/>
    <n v="720"/>
  </r>
  <r>
    <x v="484"/>
    <x v="218"/>
    <x v="0"/>
    <x v="3"/>
    <x v="5"/>
    <n v="2"/>
    <n v="6200"/>
    <n v="12400"/>
    <n v="9000"/>
    <n v="3400"/>
  </r>
  <r>
    <x v="485"/>
    <x v="236"/>
    <x v="0"/>
    <x v="2"/>
    <x v="2"/>
    <n v="2"/>
    <n v="9025"/>
    <n v="18050"/>
    <n v="15200"/>
    <n v="2850"/>
  </r>
  <r>
    <x v="486"/>
    <x v="242"/>
    <x v="1"/>
    <x v="1"/>
    <x v="13"/>
    <n v="9"/>
    <n v="142.5"/>
    <n v="1282.5"/>
    <n v="585"/>
    <n v="697.5"/>
  </r>
  <r>
    <x v="487"/>
    <x v="180"/>
    <x v="1"/>
    <x v="2"/>
    <x v="19"/>
    <n v="9"/>
    <n v="1710"/>
    <n v="15390"/>
    <n v="10350"/>
    <n v="5040"/>
  </r>
  <r>
    <x v="488"/>
    <x v="275"/>
    <x v="1"/>
    <x v="3"/>
    <x v="15"/>
    <n v="8"/>
    <n v="3990"/>
    <n v="31920"/>
    <n v="23200"/>
    <n v="8720"/>
  </r>
  <r>
    <x v="489"/>
    <x v="276"/>
    <x v="3"/>
    <x v="3"/>
    <x v="5"/>
    <n v="12"/>
    <n v="5580"/>
    <n v="66960"/>
    <n v="54000"/>
    <n v="12960"/>
  </r>
  <r>
    <x v="490"/>
    <x v="277"/>
    <x v="0"/>
    <x v="0"/>
    <x v="0"/>
    <n v="2"/>
    <n v="450"/>
    <n v="900"/>
    <n v="480"/>
    <n v="420"/>
  </r>
  <r>
    <x v="491"/>
    <x v="167"/>
    <x v="3"/>
    <x v="2"/>
    <x v="4"/>
    <n v="10"/>
    <n v="650"/>
    <n v="6500"/>
    <n v="3800"/>
    <n v="2700"/>
  </r>
  <r>
    <x v="492"/>
    <x v="12"/>
    <x v="3"/>
    <x v="0"/>
    <x v="12"/>
    <n v="11"/>
    <n v="550"/>
    <n v="6050"/>
    <n v="3300"/>
    <n v="2750"/>
  </r>
  <r>
    <x v="493"/>
    <x v="278"/>
    <x v="4"/>
    <x v="1"/>
    <x v="16"/>
    <n v="10"/>
    <n v="320"/>
    <n v="3200"/>
    <n v="2100"/>
    <n v="1100"/>
  </r>
  <r>
    <x v="494"/>
    <x v="209"/>
    <x v="3"/>
    <x v="2"/>
    <x v="10"/>
    <n v="1"/>
    <n v="1200"/>
    <n v="1200"/>
    <n v="720"/>
    <n v="480"/>
  </r>
  <r>
    <x v="495"/>
    <x v="53"/>
    <x v="1"/>
    <x v="1"/>
    <x v="18"/>
    <n v="12"/>
    <n v="209"/>
    <n v="2508"/>
    <n v="1440"/>
    <n v="1068"/>
  </r>
  <r>
    <x v="496"/>
    <x v="150"/>
    <x v="2"/>
    <x v="0"/>
    <x v="12"/>
    <n v="1"/>
    <n v="550"/>
    <n v="550"/>
    <n v="300"/>
    <n v="250"/>
  </r>
  <r>
    <x v="497"/>
    <x v="237"/>
    <x v="1"/>
    <x v="2"/>
    <x v="19"/>
    <n v="9"/>
    <n v="1710"/>
    <n v="15390"/>
    <n v="10350"/>
    <n v="5040"/>
  </r>
  <r>
    <x v="498"/>
    <x v="120"/>
    <x v="4"/>
    <x v="2"/>
    <x v="19"/>
    <n v="1"/>
    <n v="1800"/>
    <n v="1800"/>
    <n v="1150"/>
    <n v="650"/>
  </r>
  <r>
    <x v="499"/>
    <x v="118"/>
    <x v="3"/>
    <x v="3"/>
    <x v="15"/>
    <n v="4"/>
    <n v="3780"/>
    <n v="15120"/>
    <n v="11600"/>
    <n v="35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04912-CEB7-45D3-8945-7EC7A8DC86B0}" name="PivotTable5"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C8" firstHeaderRow="0" firstDataRow="1" firstDataCol="1"/>
  <pivotFields count="11">
    <pivotField showAll="0"/>
    <pivotField numFmtId="14"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items count="6">
        <item x="1"/>
        <item x="4"/>
        <item x="0"/>
        <item x="3"/>
        <item x="2"/>
        <item t="default"/>
      </items>
    </pivotField>
    <pivotField axis="axisRow" showAll="0">
      <items count="5">
        <item x="2"/>
        <item x="3"/>
        <item x="0"/>
        <item x="1"/>
        <item t="default"/>
      </items>
    </pivotField>
    <pivotField showAll="0"/>
    <pivotField showAll="0"/>
    <pivotField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2"/>
  </colFields>
  <colItems count="2">
    <i>
      <x/>
    </i>
    <i i="1">
      <x v="1"/>
    </i>
  </colItems>
  <dataFields count="2">
    <dataField name="Sum of Sales" fld="7" baseField="0" baseItem="0"/>
    <dataField name="Sum of Profit" fld="9" baseField="0" baseItem="0"/>
  </dataFields>
  <chartFormats count="5">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1"/>
          </reference>
        </references>
      </pivotArea>
    </chartFormat>
    <chartFormat chart="12" format="1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52442-B8DE-422A-A78E-326ABAB1E930}" name="PivotTable6"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4"/>
        <item x="0"/>
        <item x="3"/>
        <item x="2"/>
        <item t="default"/>
      </items>
    </pivotField>
    <pivotField showAll="0"/>
    <pivotField axis="axisRow" showAll="0" measureFilter="1">
      <items count="21">
        <item x="15"/>
        <item x="11"/>
        <item x="14"/>
        <item x="13"/>
        <item x="19"/>
        <item x="10"/>
        <item x="17"/>
        <item x="6"/>
        <item x="7"/>
        <item x="2"/>
        <item x="12"/>
        <item x="1"/>
        <item x="5"/>
        <item x="3"/>
        <item x="16"/>
        <item x="18"/>
        <item x="9"/>
        <item x="8"/>
        <item x="0"/>
        <item x="4"/>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9"/>
    </i>
    <i>
      <x v="1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F06B0-918F-4301-B489-D2AE23D5E9C1}" name="PivotTable7"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1">
    <pivotField showAll="0"/>
    <pivotField numFmtId="14" showAll="0"/>
    <pivotField showAll="0">
      <items count="6">
        <item x="1"/>
        <item x="4"/>
        <item x="0"/>
        <item x="3"/>
        <item x="2"/>
        <item t="default"/>
      </items>
    </pivotField>
    <pivotField showAll="0"/>
    <pivotField axis="axisRow" showAll="0" measureFilter="1" sortType="descending">
      <items count="21">
        <item x="4"/>
        <item x="0"/>
        <item x="8"/>
        <item x="9"/>
        <item x="18"/>
        <item x="16"/>
        <item x="3"/>
        <item x="5"/>
        <item x="1"/>
        <item x="12"/>
        <item x="2"/>
        <item x="7"/>
        <item x="6"/>
        <item x="17"/>
        <item x="10"/>
        <item x="19"/>
        <item x="13"/>
        <item x="14"/>
        <item x="11"/>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4"/>
  </rowFields>
  <rowItems count="6">
    <i>
      <x v="18"/>
    </i>
    <i>
      <x v="10"/>
    </i>
    <i>
      <x v="7"/>
    </i>
    <i>
      <x v="17"/>
    </i>
    <i>
      <x v="19"/>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3B6C32-C58E-445C-AECC-B491FF97B2E6}"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11">
    <pivotField showAll="0"/>
    <pivotField numFmtId="14" showAll="0"/>
    <pivotField showAll="0">
      <items count="6">
        <item x="1"/>
        <item x="4"/>
        <item x="0"/>
        <item x="3"/>
        <item x="2"/>
        <item t="default"/>
      </items>
    </pivotField>
    <pivotField showAll="0"/>
    <pivotField showAll="0"/>
    <pivotField showAll="0"/>
    <pivotField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3C0B0-0673-411E-B285-2549780DBF81}"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J8:K14" firstHeaderRow="1"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1"/>
        <item x="4"/>
        <item x="0"/>
        <item x="3"/>
        <item x="2"/>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chartFormats count="3">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464398-4272-4BE9-91C2-22F3442FA3CD}"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8:I14" firstHeaderRow="1" firstDataRow="1"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6">
        <item x="1"/>
        <item x="4"/>
        <item x="0"/>
        <item x="3"/>
        <item x="2"/>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79288D-E24F-436C-B78A-DB44ABE19B08}"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6" firstHeaderRow="0" firstDataRow="1" firstDataCol="1"/>
  <pivotFields count="11">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6">
        <item x="1"/>
        <item x="4"/>
        <item x="0"/>
        <item x="3"/>
        <item x="2"/>
        <item t="default"/>
      </items>
    </pivotField>
    <pivotField showAll="0"/>
    <pivotField showAll="0"/>
    <pivotField showAll="0"/>
    <pivotField showAll="0"/>
    <pivotField dataField="1"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7" baseField="0" baseItem="0"/>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80A3B3-BE08-4F13-B8F7-09E0B9AC2705}" autoFormatId="16" applyNumberFormats="0" applyBorderFormats="0" applyFontFormats="0" applyPatternFormats="0" applyAlignmentFormats="0" applyWidthHeightFormats="0">
  <queryTableRefresh nextId="11">
    <queryTableFields count="10">
      <queryTableField id="1" name="Order ID" tableColumnId="1"/>
      <queryTableField id="2" name="Order Date" tableColumnId="2"/>
      <queryTableField id="3" name="Region" tableColumnId="3"/>
      <queryTableField id="4" name="Category" tableColumnId="4"/>
      <queryTableField id="5" name="Product" tableColumnId="5"/>
      <queryTableField id="6" name="Quantity" tableColumnId="6"/>
      <queryTableField id="7" name="Unit Price" tableColumnId="7"/>
      <queryTableField id="8" name="Sales" tableColumnId="8"/>
      <queryTableField id="9" name="Cost" tableColumnId="9"/>
      <queryTableField id="10" name="Profi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915A73-6684-40C2-896B-F2DDA924A7A7}" sourceName="Region">
  <pivotTables>
    <pivotTable tabId="2" name="PivotTable1"/>
    <pivotTable tabId="2" name="PivotTable2"/>
    <pivotTable tabId="4" name="PivotTable4"/>
    <pivotTable tabId="5" name="PivotTable5"/>
    <pivotTable tabId="6" name="PivotTable6"/>
    <pivotTable tabId="7" name="PivotTable7"/>
    <pivotTable tabId="8" name="PivotTable8"/>
  </pivotTables>
  <data>
    <tabular pivotCacheId="2057035532">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02F3777-364D-44F8-9913-3263D45B5C90}" sourceName="Months">
  <pivotTables>
    <pivotTable tabId="2" name="PivotTable1"/>
    <pivotTable tabId="2" name="PivotTable2"/>
    <pivotTable tabId="4" name="PivotTable4"/>
    <pivotTable tabId="5" name="PivotTable5"/>
    <pivotTable tabId="6" name="PivotTable6"/>
    <pivotTable tabId="7" name="PivotTable7"/>
    <pivotTable tabId="8" name="PivotTable8"/>
  </pivotTables>
  <data>
    <tabular pivotCacheId="205703553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9A3914-6DAC-44E7-BCFB-0072E54F1E50}" cache="Slicer_Region" caption="Region" rowHeight="234950"/>
  <slicer name="Months" xr10:uid="{9FEDADA9-AF50-46EC-A903-4F4D493C1779}" cache="Slicer_Months" caption="Month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CAD75-DC96-4BA1-AAEB-8FAC296AD885}" name="Retail_Sales_Analysis_Dataset__3" displayName="Retail_Sales_Analysis_Dataset__3" ref="A1:J501" tableType="queryTable" totalsRowShown="0">
  <autoFilter ref="A1:J501" xr:uid="{43ECAD75-DC96-4BA1-AAEB-8FAC296AD885}"/>
  <tableColumns count="10">
    <tableColumn id="1" xr3:uid="{919AD3C4-C926-4CC1-BA4D-2A0D96D2A0E0}" uniqueName="1" name="Order ID" queryTableFieldId="1" dataDxfId="4"/>
    <tableColumn id="2" xr3:uid="{993A71F0-C1B1-4E61-A410-099C4E9C2B91}" uniqueName="2" name="Order Date" queryTableFieldId="2" dataDxfId="3"/>
    <tableColumn id="3" xr3:uid="{B5C9316F-7D5C-4CD6-B929-701DDB3C672B}" uniqueName="3" name="Region" queryTableFieldId="3" dataDxfId="2"/>
    <tableColumn id="4" xr3:uid="{69760D6F-AF27-45BE-973B-D936C782BCD8}" uniqueName="4" name="Category" queryTableFieldId="4" dataDxfId="1"/>
    <tableColumn id="5" xr3:uid="{5E61B331-FBF9-4A1B-9B90-D2EB814C75CF}" uniqueName="5" name="Product" queryTableFieldId="5" dataDxfId="0"/>
    <tableColumn id="6" xr3:uid="{8674A07A-40D0-442B-BE8D-70A61084CB0D}" uniqueName="6" name="Quantity" queryTableFieldId="6"/>
    <tableColumn id="7" xr3:uid="{A0414CD9-716F-4637-B43D-B61BF2658B20}" uniqueName="7" name="Unit Price" queryTableFieldId="7"/>
    <tableColumn id="8" xr3:uid="{D6666056-4F15-4EB6-A0F9-632B3E5D307A}" uniqueName="8" name="Sales" queryTableFieldId="8"/>
    <tableColumn id="9" xr3:uid="{F158315D-B7B5-469A-934E-883E05575016}" uniqueName="9" name="Cost" queryTableFieldId="9"/>
    <tableColumn id="10" xr3:uid="{7A081099-2513-4966-897C-5F11E0CD3B04}" uniqueName="10" name="Profi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1B96-6391-4648-9C5F-FF061F45C7C2}">
  <dimension ref="A3:C8"/>
  <sheetViews>
    <sheetView workbookViewId="0">
      <selection activeCell="I6" sqref="I6"/>
    </sheetView>
  </sheetViews>
  <sheetFormatPr defaultRowHeight="14.4" x14ac:dyDescent="0.3"/>
  <cols>
    <col min="1" max="1" width="14.21875" bestFit="1" customWidth="1"/>
    <col min="2" max="2" width="11.6640625" bestFit="1" customWidth="1"/>
    <col min="3" max="3" width="12.109375" bestFit="1" customWidth="1"/>
  </cols>
  <sheetData>
    <row r="3" spans="1:3" x14ac:dyDescent="0.3">
      <c r="A3" s="6" t="s">
        <v>545</v>
      </c>
      <c r="B3" t="s">
        <v>544</v>
      </c>
      <c r="C3" t="s">
        <v>547</v>
      </c>
    </row>
    <row r="4" spans="1:3" x14ac:dyDescent="0.3">
      <c r="A4" s="1" t="s">
        <v>22</v>
      </c>
      <c r="B4" s="2">
        <v>2070890</v>
      </c>
      <c r="C4" s="2">
        <v>510300</v>
      </c>
    </row>
    <row r="5" spans="1:3" x14ac:dyDescent="0.3">
      <c r="A5" s="1" t="s">
        <v>32</v>
      </c>
      <c r="B5" s="2">
        <v>3466775</v>
      </c>
      <c r="C5" s="2">
        <v>870135</v>
      </c>
    </row>
    <row r="6" spans="1:3" x14ac:dyDescent="0.3">
      <c r="A6" s="1" t="s">
        <v>15</v>
      </c>
      <c r="B6" s="2">
        <v>438367.5</v>
      </c>
      <c r="C6" s="2">
        <v>175147.5</v>
      </c>
    </row>
    <row r="7" spans="1:3" x14ac:dyDescent="0.3">
      <c r="A7" s="1" t="s">
        <v>18</v>
      </c>
      <c r="B7" s="2">
        <v>193434.5</v>
      </c>
      <c r="C7" s="2">
        <v>86854.5</v>
      </c>
    </row>
    <row r="8" spans="1:3" x14ac:dyDescent="0.3">
      <c r="A8" s="1" t="s">
        <v>546</v>
      </c>
      <c r="B8" s="2">
        <v>6169467</v>
      </c>
      <c r="C8" s="2">
        <v>1642437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5294-EF09-49B3-AA6A-72E559A91970}">
  <dimension ref="A3:B9"/>
  <sheetViews>
    <sheetView workbookViewId="0">
      <selection activeCell="K5" sqref="K5"/>
    </sheetView>
  </sheetViews>
  <sheetFormatPr defaultRowHeight="14.4" x14ac:dyDescent="0.3"/>
  <cols>
    <col min="1" max="1" width="12.5546875" bestFit="1" customWidth="1"/>
    <col min="2" max="2" width="11.6640625" bestFit="1" customWidth="1"/>
    <col min="3" max="3" width="12.109375" bestFit="1" customWidth="1"/>
  </cols>
  <sheetData>
    <row r="3" spans="1:2" x14ac:dyDescent="0.3">
      <c r="A3" s="6" t="s">
        <v>545</v>
      </c>
      <c r="B3" t="s">
        <v>544</v>
      </c>
    </row>
    <row r="4" spans="1:2" x14ac:dyDescent="0.3">
      <c r="A4" s="1" t="s">
        <v>62</v>
      </c>
      <c r="B4" s="2">
        <v>574140</v>
      </c>
    </row>
    <row r="5" spans="1:2" x14ac:dyDescent="0.3">
      <c r="A5" s="1" t="s">
        <v>47</v>
      </c>
      <c r="B5" s="2">
        <v>1275425</v>
      </c>
    </row>
    <row r="6" spans="1:2" x14ac:dyDescent="0.3">
      <c r="A6" s="1" t="s">
        <v>55</v>
      </c>
      <c r="B6" s="2">
        <v>663520</v>
      </c>
    </row>
    <row r="7" spans="1:2" x14ac:dyDescent="0.3">
      <c r="A7" s="1" t="s">
        <v>23</v>
      </c>
      <c r="B7" s="2">
        <v>1254000</v>
      </c>
    </row>
    <row r="8" spans="1:2" x14ac:dyDescent="0.3">
      <c r="A8" s="1" t="s">
        <v>33</v>
      </c>
      <c r="B8" s="2">
        <v>762290</v>
      </c>
    </row>
    <row r="9" spans="1:2" x14ac:dyDescent="0.3">
      <c r="A9" s="1" t="s">
        <v>546</v>
      </c>
      <c r="B9" s="2">
        <v>4529375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7AB2C-369C-4151-9FAB-D6103C073DB9}">
  <dimension ref="A3:B9"/>
  <sheetViews>
    <sheetView workbookViewId="0">
      <selection activeCell="G7" sqref="G7"/>
    </sheetView>
  </sheetViews>
  <sheetFormatPr defaultRowHeight="14.4" x14ac:dyDescent="0.3"/>
  <cols>
    <col min="1" max="1" width="12.5546875" bestFit="1" customWidth="1"/>
    <col min="2" max="2" width="12.109375" bestFit="1" customWidth="1"/>
    <col min="3" max="3" width="11.6640625" bestFit="1" customWidth="1"/>
  </cols>
  <sheetData>
    <row r="3" spans="1:2" x14ac:dyDescent="0.3">
      <c r="A3" s="6" t="s">
        <v>545</v>
      </c>
      <c r="B3" t="s">
        <v>547</v>
      </c>
    </row>
    <row r="4" spans="1:2" x14ac:dyDescent="0.3">
      <c r="A4" s="1" t="s">
        <v>47</v>
      </c>
      <c r="B4" s="2">
        <v>267925</v>
      </c>
    </row>
    <row r="5" spans="1:2" x14ac:dyDescent="0.3">
      <c r="A5" s="1" t="s">
        <v>23</v>
      </c>
      <c r="B5" s="2">
        <v>205200</v>
      </c>
    </row>
    <row r="6" spans="1:2" x14ac:dyDescent="0.3">
      <c r="A6" s="1" t="s">
        <v>33</v>
      </c>
      <c r="B6" s="2">
        <v>186290</v>
      </c>
    </row>
    <row r="7" spans="1:2" x14ac:dyDescent="0.3">
      <c r="A7" s="1" t="s">
        <v>55</v>
      </c>
      <c r="B7" s="2">
        <v>172120</v>
      </c>
    </row>
    <row r="8" spans="1:2" x14ac:dyDescent="0.3">
      <c r="A8" s="1" t="s">
        <v>62</v>
      </c>
      <c r="B8" s="2">
        <v>165240</v>
      </c>
    </row>
    <row r="9" spans="1:2" x14ac:dyDescent="0.3">
      <c r="A9" s="1" t="s">
        <v>546</v>
      </c>
      <c r="B9" s="2">
        <v>996775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5AE7-D9A0-4685-AAE9-DC4B6E0C1C4A}">
  <dimension ref="A3:B4"/>
  <sheetViews>
    <sheetView workbookViewId="0">
      <selection activeCell="C10" sqref="C10"/>
    </sheetView>
  </sheetViews>
  <sheetFormatPr defaultRowHeight="14.4" x14ac:dyDescent="0.3"/>
  <cols>
    <col min="1" max="1" width="11.6640625" bestFit="1" customWidth="1"/>
    <col min="2" max="2" width="12.109375" bestFit="1" customWidth="1"/>
  </cols>
  <sheetData>
    <row r="3" spans="1:2" x14ac:dyDescent="0.3">
      <c r="A3" t="s">
        <v>544</v>
      </c>
      <c r="B3" t="s">
        <v>547</v>
      </c>
    </row>
    <row r="4" spans="1:2" x14ac:dyDescent="0.3">
      <c r="A4" s="2">
        <v>6169467</v>
      </c>
      <c r="B4" s="2">
        <v>1642437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AC6D-939C-40B9-B4C1-37DD155EE762}">
  <dimension ref="A1:J501"/>
  <sheetViews>
    <sheetView topLeftCell="A2" workbookViewId="0">
      <selection activeCell="D10" sqref="D10"/>
    </sheetView>
  </sheetViews>
  <sheetFormatPr defaultRowHeight="14.4" x14ac:dyDescent="0.3"/>
  <cols>
    <col min="1" max="1" width="10.21875" bestFit="1" customWidth="1"/>
    <col min="2" max="2" width="12.33203125" bestFit="1" customWidth="1"/>
    <col min="3" max="3" width="9" bestFit="1" customWidth="1"/>
    <col min="4" max="4" width="14.21875" bestFit="1" customWidth="1"/>
    <col min="5" max="5" width="14" bestFit="1" customWidth="1"/>
    <col min="6" max="6" width="10.5546875" bestFit="1" customWidth="1"/>
    <col min="7" max="7" width="11.33203125" bestFit="1" customWidth="1"/>
    <col min="8" max="8" width="7.44140625" bestFit="1" customWidth="1"/>
    <col min="9" max="9" width="6.88671875" bestFit="1" customWidth="1"/>
    <col min="10" max="10" width="7.88671875" bestFit="1" customWidth="1"/>
  </cols>
  <sheetData>
    <row r="1" spans="1:10" x14ac:dyDescent="0.3">
      <c r="A1" t="s">
        <v>3</v>
      </c>
      <c r="B1" t="s">
        <v>4</v>
      </c>
      <c r="C1" t="s">
        <v>5</v>
      </c>
      <c r="D1" t="s">
        <v>6</v>
      </c>
      <c r="E1" t="s">
        <v>7</v>
      </c>
      <c r="F1" t="s">
        <v>8</v>
      </c>
      <c r="G1" t="s">
        <v>9</v>
      </c>
      <c r="H1" t="s">
        <v>10</v>
      </c>
      <c r="I1" t="s">
        <v>11</v>
      </c>
      <c r="J1" t="s">
        <v>12</v>
      </c>
    </row>
    <row r="2" spans="1:10" x14ac:dyDescent="0.3">
      <c r="A2" s="2" t="s">
        <v>13</v>
      </c>
      <c r="B2" s="3">
        <v>45814</v>
      </c>
      <c r="C2" s="2" t="s">
        <v>14</v>
      </c>
      <c r="D2" s="2" t="s">
        <v>15</v>
      </c>
      <c r="E2" s="2" t="s">
        <v>16</v>
      </c>
      <c r="F2">
        <v>4</v>
      </c>
      <c r="G2">
        <v>427.5</v>
      </c>
      <c r="H2">
        <v>1710</v>
      </c>
      <c r="I2">
        <v>960</v>
      </c>
      <c r="J2">
        <v>750</v>
      </c>
    </row>
    <row r="3" spans="1:10" x14ac:dyDescent="0.3">
      <c r="A3" s="2" t="s">
        <v>17</v>
      </c>
      <c r="B3" s="3">
        <v>45947</v>
      </c>
      <c r="C3" s="2" t="s">
        <v>14</v>
      </c>
      <c r="D3" s="2" t="s">
        <v>18</v>
      </c>
      <c r="E3" s="2" t="s">
        <v>19</v>
      </c>
      <c r="F3">
        <v>5</v>
      </c>
      <c r="G3">
        <v>237.5</v>
      </c>
      <c r="H3">
        <v>1187.5</v>
      </c>
      <c r="I3">
        <v>650</v>
      </c>
      <c r="J3">
        <v>537.5</v>
      </c>
    </row>
    <row r="4" spans="1:10" x14ac:dyDescent="0.3">
      <c r="A4" s="2" t="s">
        <v>20</v>
      </c>
      <c r="B4" s="3">
        <v>45758</v>
      </c>
      <c r="C4" s="2" t="s">
        <v>21</v>
      </c>
      <c r="D4" s="2" t="s">
        <v>22</v>
      </c>
      <c r="E4" s="2" t="s">
        <v>23</v>
      </c>
      <c r="F4">
        <v>11</v>
      </c>
      <c r="G4">
        <v>8550</v>
      </c>
      <c r="H4">
        <v>94050</v>
      </c>
      <c r="I4">
        <v>83600</v>
      </c>
      <c r="J4">
        <v>10450</v>
      </c>
    </row>
    <row r="5" spans="1:10" x14ac:dyDescent="0.3">
      <c r="A5" s="2" t="s">
        <v>24</v>
      </c>
      <c r="B5" s="3">
        <v>45841</v>
      </c>
      <c r="C5" s="2" t="s">
        <v>25</v>
      </c>
      <c r="D5" s="2" t="s">
        <v>18</v>
      </c>
      <c r="E5" s="2" t="s">
        <v>26</v>
      </c>
      <c r="F5">
        <v>9</v>
      </c>
      <c r="G5">
        <v>162</v>
      </c>
      <c r="H5">
        <v>1458</v>
      </c>
      <c r="I5">
        <v>720</v>
      </c>
      <c r="J5">
        <v>738</v>
      </c>
    </row>
    <row r="6" spans="1:10" x14ac:dyDescent="0.3">
      <c r="A6" s="2" t="s">
        <v>27</v>
      </c>
      <c r="B6" s="3">
        <v>45956</v>
      </c>
      <c r="C6" s="2" t="s">
        <v>25</v>
      </c>
      <c r="D6" s="2" t="s">
        <v>22</v>
      </c>
      <c r="E6" s="2" t="s">
        <v>28</v>
      </c>
      <c r="F6">
        <v>10</v>
      </c>
      <c r="G6">
        <v>650</v>
      </c>
      <c r="H6">
        <v>6500</v>
      </c>
      <c r="I6">
        <v>3800</v>
      </c>
      <c r="J6">
        <v>2700</v>
      </c>
    </row>
    <row r="7" spans="1:10" x14ac:dyDescent="0.3">
      <c r="A7" s="2" t="s">
        <v>29</v>
      </c>
      <c r="B7" s="3">
        <v>45740</v>
      </c>
      <c r="C7" s="2" t="s">
        <v>25</v>
      </c>
      <c r="D7" s="2" t="s">
        <v>18</v>
      </c>
      <c r="E7" s="2" t="s">
        <v>26</v>
      </c>
      <c r="F7">
        <v>11</v>
      </c>
      <c r="G7">
        <v>162</v>
      </c>
      <c r="H7">
        <v>1782</v>
      </c>
      <c r="I7">
        <v>880</v>
      </c>
      <c r="J7">
        <v>902</v>
      </c>
    </row>
    <row r="8" spans="1:10" x14ac:dyDescent="0.3">
      <c r="A8" s="2" t="s">
        <v>30</v>
      </c>
      <c r="B8" s="3">
        <v>45946</v>
      </c>
      <c r="C8" s="2" t="s">
        <v>21</v>
      </c>
      <c r="D8" s="2" t="s">
        <v>22</v>
      </c>
      <c r="E8" s="2" t="s">
        <v>28</v>
      </c>
      <c r="F8">
        <v>7</v>
      </c>
      <c r="G8">
        <v>650</v>
      </c>
      <c r="H8">
        <v>4550</v>
      </c>
      <c r="I8">
        <v>2660</v>
      </c>
      <c r="J8">
        <v>1890</v>
      </c>
    </row>
    <row r="9" spans="1:10" x14ac:dyDescent="0.3">
      <c r="A9" s="2" t="s">
        <v>31</v>
      </c>
      <c r="B9" s="3">
        <v>45746</v>
      </c>
      <c r="C9" s="2" t="s">
        <v>21</v>
      </c>
      <c r="D9" s="2" t="s">
        <v>32</v>
      </c>
      <c r="E9" s="2" t="s">
        <v>33</v>
      </c>
      <c r="F9">
        <v>9</v>
      </c>
      <c r="G9">
        <v>6200</v>
      </c>
      <c r="H9">
        <v>55800</v>
      </c>
      <c r="I9">
        <v>40500</v>
      </c>
      <c r="J9">
        <v>15300</v>
      </c>
    </row>
    <row r="10" spans="1:10" x14ac:dyDescent="0.3">
      <c r="A10" s="2" t="s">
        <v>34</v>
      </c>
      <c r="B10" s="3">
        <v>45886</v>
      </c>
      <c r="C10" s="2" t="s">
        <v>25</v>
      </c>
      <c r="D10" s="2" t="s">
        <v>32</v>
      </c>
      <c r="E10" s="2" t="s">
        <v>35</v>
      </c>
      <c r="F10">
        <v>9</v>
      </c>
      <c r="G10">
        <v>1045</v>
      </c>
      <c r="H10">
        <v>9405</v>
      </c>
      <c r="I10">
        <v>5580</v>
      </c>
      <c r="J10">
        <v>3825</v>
      </c>
    </row>
    <row r="11" spans="1:10" x14ac:dyDescent="0.3">
      <c r="A11" s="2" t="s">
        <v>36</v>
      </c>
      <c r="B11" s="3">
        <v>45911</v>
      </c>
      <c r="C11" s="2" t="s">
        <v>37</v>
      </c>
      <c r="D11" s="2" t="s">
        <v>15</v>
      </c>
      <c r="E11" s="2" t="s">
        <v>38</v>
      </c>
      <c r="F11">
        <v>1</v>
      </c>
      <c r="G11">
        <v>600</v>
      </c>
      <c r="H11">
        <v>600</v>
      </c>
      <c r="I11">
        <v>330</v>
      </c>
      <c r="J11">
        <v>270</v>
      </c>
    </row>
    <row r="12" spans="1:10" x14ac:dyDescent="0.3">
      <c r="A12" s="2" t="s">
        <v>39</v>
      </c>
      <c r="B12" s="3">
        <v>45979</v>
      </c>
      <c r="C12" s="2" t="s">
        <v>14</v>
      </c>
      <c r="D12" s="2" t="s">
        <v>22</v>
      </c>
      <c r="E12" s="2" t="s">
        <v>40</v>
      </c>
      <c r="F12">
        <v>7</v>
      </c>
      <c r="G12">
        <v>855</v>
      </c>
      <c r="H12">
        <v>5985</v>
      </c>
      <c r="I12">
        <v>3640</v>
      </c>
      <c r="J12">
        <v>2345</v>
      </c>
    </row>
    <row r="13" spans="1:10" x14ac:dyDescent="0.3">
      <c r="A13" s="2" t="s">
        <v>41</v>
      </c>
      <c r="B13" s="3">
        <v>45974</v>
      </c>
      <c r="C13" s="2" t="s">
        <v>42</v>
      </c>
      <c r="D13" s="2" t="s">
        <v>15</v>
      </c>
      <c r="E13" s="2" t="s">
        <v>43</v>
      </c>
      <c r="F13">
        <v>7</v>
      </c>
      <c r="G13">
        <v>630</v>
      </c>
      <c r="H13">
        <v>4410</v>
      </c>
      <c r="I13">
        <v>2870</v>
      </c>
      <c r="J13">
        <v>1540</v>
      </c>
    </row>
    <row r="14" spans="1:10" x14ac:dyDescent="0.3">
      <c r="A14" s="2" t="s">
        <v>44</v>
      </c>
      <c r="B14" s="3">
        <v>45705</v>
      </c>
      <c r="C14" s="2" t="s">
        <v>37</v>
      </c>
      <c r="D14" s="2" t="s">
        <v>22</v>
      </c>
      <c r="E14" s="2" t="s">
        <v>45</v>
      </c>
      <c r="F14">
        <v>2</v>
      </c>
      <c r="G14">
        <v>1200</v>
      </c>
      <c r="H14">
        <v>2400</v>
      </c>
      <c r="I14">
        <v>1440</v>
      </c>
      <c r="J14">
        <v>960</v>
      </c>
    </row>
    <row r="15" spans="1:10" x14ac:dyDescent="0.3">
      <c r="A15" s="2" t="s">
        <v>46</v>
      </c>
      <c r="B15" s="3">
        <v>45849</v>
      </c>
      <c r="C15" s="2" t="s">
        <v>37</v>
      </c>
      <c r="D15" s="2" t="s">
        <v>32</v>
      </c>
      <c r="E15" s="2" t="s">
        <v>47</v>
      </c>
      <c r="F15">
        <v>3</v>
      </c>
      <c r="G15">
        <v>8500</v>
      </c>
      <c r="H15">
        <v>25500</v>
      </c>
      <c r="I15">
        <v>19500</v>
      </c>
      <c r="J15">
        <v>6000</v>
      </c>
    </row>
    <row r="16" spans="1:10" x14ac:dyDescent="0.3">
      <c r="A16" s="2" t="s">
        <v>48</v>
      </c>
      <c r="B16" s="3">
        <v>45843</v>
      </c>
      <c r="C16" s="2" t="s">
        <v>25</v>
      </c>
      <c r="D16" s="2" t="s">
        <v>15</v>
      </c>
      <c r="E16" s="2" t="s">
        <v>49</v>
      </c>
      <c r="F16">
        <v>5</v>
      </c>
      <c r="G16">
        <v>522.5</v>
      </c>
      <c r="H16">
        <v>2612.5</v>
      </c>
      <c r="I16">
        <v>1500</v>
      </c>
      <c r="J16">
        <v>1112.5</v>
      </c>
    </row>
    <row r="17" spans="1:10" x14ac:dyDescent="0.3">
      <c r="A17" s="2" t="s">
        <v>50</v>
      </c>
      <c r="B17" s="3">
        <v>45874</v>
      </c>
      <c r="C17" s="2" t="s">
        <v>25</v>
      </c>
      <c r="D17" s="2" t="s">
        <v>15</v>
      </c>
      <c r="E17" s="2" t="s">
        <v>38</v>
      </c>
      <c r="F17">
        <v>11</v>
      </c>
      <c r="G17">
        <v>570</v>
      </c>
      <c r="H17">
        <v>6270</v>
      </c>
      <c r="I17">
        <v>3630</v>
      </c>
      <c r="J17">
        <v>2640</v>
      </c>
    </row>
    <row r="18" spans="1:10" x14ac:dyDescent="0.3">
      <c r="A18" s="2" t="s">
        <v>51</v>
      </c>
      <c r="B18" s="3">
        <v>45792</v>
      </c>
      <c r="C18" s="2" t="s">
        <v>42</v>
      </c>
      <c r="D18" s="2" t="s">
        <v>18</v>
      </c>
      <c r="E18" s="2" t="s">
        <v>52</v>
      </c>
      <c r="F18">
        <v>2</v>
      </c>
      <c r="G18">
        <v>142.5</v>
      </c>
      <c r="H18">
        <v>285</v>
      </c>
      <c r="I18">
        <v>130</v>
      </c>
      <c r="J18">
        <v>155</v>
      </c>
    </row>
    <row r="19" spans="1:10" x14ac:dyDescent="0.3">
      <c r="A19" s="2" t="s">
        <v>53</v>
      </c>
      <c r="B19" s="3">
        <v>45775</v>
      </c>
      <c r="C19" s="2" t="s">
        <v>14</v>
      </c>
      <c r="D19" s="2" t="s">
        <v>22</v>
      </c>
      <c r="E19" s="2" t="s">
        <v>23</v>
      </c>
      <c r="F19">
        <v>10</v>
      </c>
      <c r="G19">
        <v>8550</v>
      </c>
      <c r="H19">
        <v>85500</v>
      </c>
      <c r="I19">
        <v>76000</v>
      </c>
      <c r="J19">
        <v>9500</v>
      </c>
    </row>
    <row r="20" spans="1:10" x14ac:dyDescent="0.3">
      <c r="A20" s="2" t="s">
        <v>54</v>
      </c>
      <c r="B20" s="3">
        <v>45921</v>
      </c>
      <c r="C20" s="2" t="s">
        <v>42</v>
      </c>
      <c r="D20" s="2" t="s">
        <v>32</v>
      </c>
      <c r="E20" s="2" t="s">
        <v>55</v>
      </c>
      <c r="F20">
        <v>5</v>
      </c>
      <c r="G20">
        <v>5800</v>
      </c>
      <c r="H20">
        <v>29000</v>
      </c>
      <c r="I20">
        <v>21000</v>
      </c>
      <c r="J20">
        <v>8000</v>
      </c>
    </row>
    <row r="21" spans="1:10" x14ac:dyDescent="0.3">
      <c r="A21" s="2" t="s">
        <v>56</v>
      </c>
      <c r="B21" s="3">
        <v>45741</v>
      </c>
      <c r="C21" s="2" t="s">
        <v>42</v>
      </c>
      <c r="D21" s="2" t="s">
        <v>22</v>
      </c>
      <c r="E21" s="2" t="s">
        <v>28</v>
      </c>
      <c r="F21">
        <v>9</v>
      </c>
      <c r="G21">
        <v>650</v>
      </c>
      <c r="H21">
        <v>5850</v>
      </c>
      <c r="I21">
        <v>3420</v>
      </c>
      <c r="J21">
        <v>2430</v>
      </c>
    </row>
    <row r="22" spans="1:10" x14ac:dyDescent="0.3">
      <c r="A22" s="2" t="s">
        <v>57</v>
      </c>
      <c r="B22" s="3">
        <v>45698</v>
      </c>
      <c r="C22" s="2" t="s">
        <v>25</v>
      </c>
      <c r="D22" s="2" t="s">
        <v>32</v>
      </c>
      <c r="E22" s="2" t="s">
        <v>55</v>
      </c>
      <c r="F22">
        <v>6</v>
      </c>
      <c r="G22">
        <v>5800</v>
      </c>
      <c r="H22">
        <v>34800</v>
      </c>
      <c r="I22">
        <v>25200</v>
      </c>
      <c r="J22">
        <v>9600</v>
      </c>
    </row>
    <row r="23" spans="1:10" x14ac:dyDescent="0.3">
      <c r="A23" s="2" t="s">
        <v>58</v>
      </c>
      <c r="B23" s="3">
        <v>45722</v>
      </c>
      <c r="C23" s="2" t="s">
        <v>14</v>
      </c>
      <c r="D23" s="2" t="s">
        <v>32</v>
      </c>
      <c r="E23" s="2" t="s">
        <v>55</v>
      </c>
      <c r="F23">
        <v>6</v>
      </c>
      <c r="G23">
        <v>5800</v>
      </c>
      <c r="H23">
        <v>34800</v>
      </c>
      <c r="I23">
        <v>25200</v>
      </c>
      <c r="J23">
        <v>9600</v>
      </c>
    </row>
    <row r="24" spans="1:10" x14ac:dyDescent="0.3">
      <c r="A24" s="2" t="s">
        <v>59</v>
      </c>
      <c r="B24" s="3">
        <v>45940</v>
      </c>
      <c r="C24" s="2" t="s">
        <v>14</v>
      </c>
      <c r="D24" s="2" t="s">
        <v>22</v>
      </c>
      <c r="E24" s="2" t="s">
        <v>23</v>
      </c>
      <c r="F24">
        <v>4</v>
      </c>
      <c r="G24">
        <v>9500</v>
      </c>
      <c r="H24">
        <v>38000</v>
      </c>
      <c r="I24">
        <v>30400</v>
      </c>
      <c r="J24">
        <v>7600</v>
      </c>
    </row>
    <row r="25" spans="1:10" x14ac:dyDescent="0.3">
      <c r="A25" s="2" t="s">
        <v>60</v>
      </c>
      <c r="B25" s="3">
        <v>45825</v>
      </c>
      <c r="C25" s="2" t="s">
        <v>21</v>
      </c>
      <c r="D25" s="2" t="s">
        <v>22</v>
      </c>
      <c r="E25" s="2" t="s">
        <v>23</v>
      </c>
      <c r="F25">
        <v>1</v>
      </c>
      <c r="G25">
        <v>9500</v>
      </c>
      <c r="H25">
        <v>9500</v>
      </c>
      <c r="I25">
        <v>7600</v>
      </c>
      <c r="J25">
        <v>1900</v>
      </c>
    </row>
    <row r="26" spans="1:10" x14ac:dyDescent="0.3">
      <c r="A26" s="2" t="s">
        <v>61</v>
      </c>
      <c r="B26" s="3">
        <v>45705</v>
      </c>
      <c r="C26" s="2" t="s">
        <v>42</v>
      </c>
      <c r="D26" s="2" t="s">
        <v>32</v>
      </c>
      <c r="E26" s="2" t="s">
        <v>62</v>
      </c>
      <c r="F26">
        <v>2</v>
      </c>
      <c r="G26">
        <v>4200</v>
      </c>
      <c r="H26">
        <v>8400</v>
      </c>
      <c r="I26">
        <v>5800</v>
      </c>
      <c r="J26">
        <v>2600</v>
      </c>
    </row>
    <row r="27" spans="1:10" x14ac:dyDescent="0.3">
      <c r="A27" s="2" t="s">
        <v>63</v>
      </c>
      <c r="B27" s="3">
        <v>45806</v>
      </c>
      <c r="C27" s="2" t="s">
        <v>42</v>
      </c>
      <c r="D27" s="2" t="s">
        <v>22</v>
      </c>
      <c r="E27" s="2" t="s">
        <v>40</v>
      </c>
      <c r="F27">
        <v>10</v>
      </c>
      <c r="G27">
        <v>900</v>
      </c>
      <c r="H27">
        <v>9000</v>
      </c>
      <c r="I27">
        <v>5200</v>
      </c>
      <c r="J27">
        <v>3800</v>
      </c>
    </row>
    <row r="28" spans="1:10" x14ac:dyDescent="0.3">
      <c r="A28" s="2" t="s">
        <v>64</v>
      </c>
      <c r="B28" s="3">
        <v>45738</v>
      </c>
      <c r="C28" s="2" t="s">
        <v>25</v>
      </c>
      <c r="D28" s="2" t="s">
        <v>18</v>
      </c>
      <c r="E28" s="2" t="s">
        <v>65</v>
      </c>
      <c r="F28">
        <v>1</v>
      </c>
      <c r="G28">
        <v>320</v>
      </c>
      <c r="H28">
        <v>320</v>
      </c>
      <c r="I28">
        <v>210</v>
      </c>
      <c r="J28">
        <v>110</v>
      </c>
    </row>
    <row r="29" spans="1:10" x14ac:dyDescent="0.3">
      <c r="A29" s="2" t="s">
        <v>66</v>
      </c>
      <c r="B29" s="3">
        <v>45659</v>
      </c>
      <c r="C29" s="2" t="s">
        <v>14</v>
      </c>
      <c r="D29" s="2" t="s">
        <v>22</v>
      </c>
      <c r="E29" s="2" t="s">
        <v>23</v>
      </c>
      <c r="F29">
        <v>5</v>
      </c>
      <c r="G29">
        <v>9500</v>
      </c>
      <c r="H29">
        <v>47500</v>
      </c>
      <c r="I29">
        <v>38000</v>
      </c>
      <c r="J29">
        <v>9500</v>
      </c>
    </row>
    <row r="30" spans="1:10" x14ac:dyDescent="0.3">
      <c r="A30" s="2" t="s">
        <v>67</v>
      </c>
      <c r="B30" s="3">
        <v>45687</v>
      </c>
      <c r="C30" s="2" t="s">
        <v>25</v>
      </c>
      <c r="D30" s="2" t="s">
        <v>32</v>
      </c>
      <c r="E30" s="2" t="s">
        <v>62</v>
      </c>
      <c r="F30">
        <v>8</v>
      </c>
      <c r="G30">
        <v>4200</v>
      </c>
      <c r="H30">
        <v>33600</v>
      </c>
      <c r="I30">
        <v>23200</v>
      </c>
      <c r="J30">
        <v>10400</v>
      </c>
    </row>
    <row r="31" spans="1:10" x14ac:dyDescent="0.3">
      <c r="A31" s="2" t="s">
        <v>68</v>
      </c>
      <c r="B31" s="3">
        <v>45683</v>
      </c>
      <c r="C31" s="2" t="s">
        <v>25</v>
      </c>
      <c r="D31" s="2" t="s">
        <v>15</v>
      </c>
      <c r="E31" s="2" t="s">
        <v>49</v>
      </c>
      <c r="F31">
        <v>9</v>
      </c>
      <c r="G31">
        <v>550</v>
      </c>
      <c r="H31">
        <v>4950</v>
      </c>
      <c r="I31">
        <v>2700</v>
      </c>
      <c r="J31">
        <v>2250</v>
      </c>
    </row>
    <row r="32" spans="1:10" x14ac:dyDescent="0.3">
      <c r="A32" s="2" t="s">
        <v>69</v>
      </c>
      <c r="B32" s="3">
        <v>45842</v>
      </c>
      <c r="C32" s="2" t="s">
        <v>14</v>
      </c>
      <c r="D32" s="2" t="s">
        <v>18</v>
      </c>
      <c r="E32" s="2" t="s">
        <v>65</v>
      </c>
      <c r="F32">
        <v>3</v>
      </c>
      <c r="G32">
        <v>304</v>
      </c>
      <c r="H32">
        <v>912</v>
      </c>
      <c r="I32">
        <v>630</v>
      </c>
      <c r="J32">
        <v>282</v>
      </c>
    </row>
    <row r="33" spans="1:10" x14ac:dyDescent="0.3">
      <c r="A33" s="2" t="s">
        <v>70</v>
      </c>
      <c r="B33" s="3">
        <v>45707</v>
      </c>
      <c r="C33" s="2" t="s">
        <v>21</v>
      </c>
      <c r="D33" s="2" t="s">
        <v>32</v>
      </c>
      <c r="E33" s="2" t="s">
        <v>33</v>
      </c>
      <c r="F33">
        <v>11</v>
      </c>
      <c r="G33">
        <v>6200</v>
      </c>
      <c r="H33">
        <v>68200</v>
      </c>
      <c r="I33">
        <v>49500</v>
      </c>
      <c r="J33">
        <v>18700</v>
      </c>
    </row>
    <row r="34" spans="1:10" x14ac:dyDescent="0.3">
      <c r="A34" s="2" t="s">
        <v>71</v>
      </c>
      <c r="B34" s="3">
        <v>45724</v>
      </c>
      <c r="C34" s="2" t="s">
        <v>14</v>
      </c>
      <c r="D34" s="2" t="s">
        <v>15</v>
      </c>
      <c r="E34" s="2" t="s">
        <v>72</v>
      </c>
      <c r="F34">
        <v>1</v>
      </c>
      <c r="G34">
        <v>1300</v>
      </c>
      <c r="H34">
        <v>1300</v>
      </c>
      <c r="I34">
        <v>820</v>
      </c>
      <c r="J34">
        <v>480</v>
      </c>
    </row>
    <row r="35" spans="1:10" x14ac:dyDescent="0.3">
      <c r="A35" s="2" t="s">
        <v>73</v>
      </c>
      <c r="B35" s="3">
        <v>45681</v>
      </c>
      <c r="C35" s="2" t="s">
        <v>42</v>
      </c>
      <c r="D35" s="2" t="s">
        <v>18</v>
      </c>
      <c r="E35" s="2" t="s">
        <v>65</v>
      </c>
      <c r="F35">
        <v>9</v>
      </c>
      <c r="G35">
        <v>320</v>
      </c>
      <c r="H35">
        <v>2880</v>
      </c>
      <c r="I35">
        <v>1890</v>
      </c>
      <c r="J35">
        <v>990</v>
      </c>
    </row>
    <row r="36" spans="1:10" x14ac:dyDescent="0.3">
      <c r="A36" s="2" t="s">
        <v>74</v>
      </c>
      <c r="B36" s="3">
        <v>45963</v>
      </c>
      <c r="C36" s="2" t="s">
        <v>14</v>
      </c>
      <c r="D36" s="2" t="s">
        <v>22</v>
      </c>
      <c r="E36" s="2" t="s">
        <v>28</v>
      </c>
      <c r="F36">
        <v>9</v>
      </c>
      <c r="G36">
        <v>650</v>
      </c>
      <c r="H36">
        <v>5850</v>
      </c>
      <c r="I36">
        <v>3420</v>
      </c>
      <c r="J36">
        <v>2430</v>
      </c>
    </row>
    <row r="37" spans="1:10" x14ac:dyDescent="0.3">
      <c r="A37" s="2" t="s">
        <v>75</v>
      </c>
      <c r="B37" s="3">
        <v>45701</v>
      </c>
      <c r="C37" s="2" t="s">
        <v>14</v>
      </c>
      <c r="D37" s="2" t="s">
        <v>15</v>
      </c>
      <c r="E37" s="2" t="s">
        <v>16</v>
      </c>
      <c r="F37">
        <v>2</v>
      </c>
      <c r="G37">
        <v>450</v>
      </c>
      <c r="H37">
        <v>900</v>
      </c>
      <c r="I37">
        <v>480</v>
      </c>
      <c r="J37">
        <v>420</v>
      </c>
    </row>
    <row r="38" spans="1:10" x14ac:dyDescent="0.3">
      <c r="A38" s="2" t="s">
        <v>76</v>
      </c>
      <c r="B38" s="3">
        <v>45977</v>
      </c>
      <c r="C38" s="2" t="s">
        <v>37</v>
      </c>
      <c r="D38" s="2" t="s">
        <v>15</v>
      </c>
      <c r="E38" s="2" t="s">
        <v>43</v>
      </c>
      <c r="F38">
        <v>7</v>
      </c>
      <c r="G38">
        <v>700</v>
      </c>
      <c r="H38">
        <v>4900</v>
      </c>
      <c r="I38">
        <v>2870</v>
      </c>
      <c r="J38">
        <v>2030</v>
      </c>
    </row>
    <row r="39" spans="1:10" x14ac:dyDescent="0.3">
      <c r="A39" s="2" t="s">
        <v>77</v>
      </c>
      <c r="B39" s="3">
        <v>45717</v>
      </c>
      <c r="C39" s="2" t="s">
        <v>14</v>
      </c>
      <c r="D39" s="2" t="s">
        <v>15</v>
      </c>
      <c r="E39" s="2" t="s">
        <v>49</v>
      </c>
      <c r="F39">
        <v>9</v>
      </c>
      <c r="G39">
        <v>550</v>
      </c>
      <c r="H39">
        <v>4950</v>
      </c>
      <c r="I39">
        <v>2700</v>
      </c>
      <c r="J39">
        <v>2250</v>
      </c>
    </row>
    <row r="40" spans="1:10" x14ac:dyDescent="0.3">
      <c r="A40" s="2" t="s">
        <v>78</v>
      </c>
      <c r="B40" s="3">
        <v>45933</v>
      </c>
      <c r="C40" s="2" t="s">
        <v>37</v>
      </c>
      <c r="D40" s="2" t="s">
        <v>18</v>
      </c>
      <c r="E40" s="2" t="s">
        <v>52</v>
      </c>
      <c r="F40">
        <v>9</v>
      </c>
      <c r="G40">
        <v>150</v>
      </c>
      <c r="H40">
        <v>1350</v>
      </c>
      <c r="I40">
        <v>585</v>
      </c>
      <c r="J40">
        <v>765</v>
      </c>
    </row>
    <row r="41" spans="1:10" x14ac:dyDescent="0.3">
      <c r="A41" s="2" t="s">
        <v>79</v>
      </c>
      <c r="B41" s="3">
        <v>45708</v>
      </c>
      <c r="C41" s="2" t="s">
        <v>14</v>
      </c>
      <c r="D41" s="2" t="s">
        <v>22</v>
      </c>
      <c r="E41" s="2" t="s">
        <v>23</v>
      </c>
      <c r="F41">
        <v>7</v>
      </c>
      <c r="G41">
        <v>9025</v>
      </c>
      <c r="H41">
        <v>63175</v>
      </c>
      <c r="I41">
        <v>53200</v>
      </c>
      <c r="J41">
        <v>9975</v>
      </c>
    </row>
    <row r="42" spans="1:10" x14ac:dyDescent="0.3">
      <c r="A42" s="2" t="s">
        <v>80</v>
      </c>
      <c r="B42" s="3">
        <v>45725</v>
      </c>
      <c r="C42" s="2" t="s">
        <v>37</v>
      </c>
      <c r="D42" s="2" t="s">
        <v>32</v>
      </c>
      <c r="E42" s="2" t="s">
        <v>35</v>
      </c>
      <c r="F42">
        <v>3</v>
      </c>
      <c r="G42">
        <v>990</v>
      </c>
      <c r="H42">
        <v>2970</v>
      </c>
      <c r="I42">
        <v>1860</v>
      </c>
      <c r="J42">
        <v>1110</v>
      </c>
    </row>
    <row r="43" spans="1:10" x14ac:dyDescent="0.3">
      <c r="A43" s="2" t="s">
        <v>81</v>
      </c>
      <c r="B43" s="3">
        <v>46012</v>
      </c>
      <c r="C43" s="2" t="s">
        <v>14</v>
      </c>
      <c r="D43" s="2" t="s">
        <v>18</v>
      </c>
      <c r="E43" s="2" t="s">
        <v>82</v>
      </c>
      <c r="F43">
        <v>7</v>
      </c>
      <c r="G43">
        <v>220</v>
      </c>
      <c r="H43">
        <v>1540</v>
      </c>
      <c r="I43">
        <v>840</v>
      </c>
      <c r="J43">
        <v>700</v>
      </c>
    </row>
    <row r="44" spans="1:10" x14ac:dyDescent="0.3">
      <c r="A44" s="2" t="s">
        <v>83</v>
      </c>
      <c r="B44" s="3">
        <v>45817</v>
      </c>
      <c r="C44" s="2" t="s">
        <v>42</v>
      </c>
      <c r="D44" s="2" t="s">
        <v>15</v>
      </c>
      <c r="E44" s="2" t="s">
        <v>38</v>
      </c>
      <c r="F44">
        <v>3</v>
      </c>
      <c r="G44">
        <v>600</v>
      </c>
      <c r="H44">
        <v>1800</v>
      </c>
      <c r="I44">
        <v>990</v>
      </c>
      <c r="J44">
        <v>810</v>
      </c>
    </row>
    <row r="45" spans="1:10" x14ac:dyDescent="0.3">
      <c r="A45" s="2" t="s">
        <v>84</v>
      </c>
      <c r="B45" s="3">
        <v>45677</v>
      </c>
      <c r="C45" s="2" t="s">
        <v>25</v>
      </c>
      <c r="D45" s="2" t="s">
        <v>32</v>
      </c>
      <c r="E45" s="2" t="s">
        <v>47</v>
      </c>
      <c r="F45">
        <v>7</v>
      </c>
      <c r="G45">
        <v>8500</v>
      </c>
      <c r="H45">
        <v>59500</v>
      </c>
      <c r="I45">
        <v>45500</v>
      </c>
      <c r="J45">
        <v>14000</v>
      </c>
    </row>
    <row r="46" spans="1:10" x14ac:dyDescent="0.3">
      <c r="A46" s="2" t="s">
        <v>85</v>
      </c>
      <c r="B46" s="3">
        <v>45797</v>
      </c>
      <c r="C46" s="2" t="s">
        <v>21</v>
      </c>
      <c r="D46" s="2" t="s">
        <v>32</v>
      </c>
      <c r="E46" s="2" t="s">
        <v>47</v>
      </c>
      <c r="F46">
        <v>6</v>
      </c>
      <c r="G46">
        <v>8075</v>
      </c>
      <c r="H46">
        <v>48450</v>
      </c>
      <c r="I46">
        <v>39000</v>
      </c>
      <c r="J46">
        <v>9450</v>
      </c>
    </row>
    <row r="47" spans="1:10" x14ac:dyDescent="0.3">
      <c r="A47" s="2" t="s">
        <v>86</v>
      </c>
      <c r="B47" s="3">
        <v>45763</v>
      </c>
      <c r="C47" s="2" t="s">
        <v>25</v>
      </c>
      <c r="D47" s="2" t="s">
        <v>15</v>
      </c>
      <c r="E47" s="2" t="s">
        <v>49</v>
      </c>
      <c r="F47">
        <v>1</v>
      </c>
      <c r="G47">
        <v>550</v>
      </c>
      <c r="H47">
        <v>550</v>
      </c>
      <c r="I47">
        <v>300</v>
      </c>
      <c r="J47">
        <v>250</v>
      </c>
    </row>
    <row r="48" spans="1:10" x14ac:dyDescent="0.3">
      <c r="A48" s="2" t="s">
        <v>87</v>
      </c>
      <c r="B48" s="3">
        <v>46009</v>
      </c>
      <c r="C48" s="2" t="s">
        <v>14</v>
      </c>
      <c r="D48" s="2" t="s">
        <v>22</v>
      </c>
      <c r="E48" s="2" t="s">
        <v>23</v>
      </c>
      <c r="F48">
        <v>1</v>
      </c>
      <c r="G48">
        <v>9500</v>
      </c>
      <c r="H48">
        <v>9500</v>
      </c>
      <c r="I48">
        <v>7600</v>
      </c>
      <c r="J48">
        <v>1900</v>
      </c>
    </row>
    <row r="49" spans="1:10" x14ac:dyDescent="0.3">
      <c r="A49" s="2" t="s">
        <v>88</v>
      </c>
      <c r="B49" s="3">
        <v>45732</v>
      </c>
      <c r="C49" s="2" t="s">
        <v>42</v>
      </c>
      <c r="D49" s="2" t="s">
        <v>15</v>
      </c>
      <c r="E49" s="2" t="s">
        <v>49</v>
      </c>
      <c r="F49">
        <v>10</v>
      </c>
      <c r="G49">
        <v>550</v>
      </c>
      <c r="H49">
        <v>5500</v>
      </c>
      <c r="I49">
        <v>3000</v>
      </c>
      <c r="J49">
        <v>2500</v>
      </c>
    </row>
    <row r="50" spans="1:10" x14ac:dyDescent="0.3">
      <c r="A50" s="2" t="s">
        <v>89</v>
      </c>
      <c r="B50" s="3">
        <v>45818</v>
      </c>
      <c r="C50" s="2" t="s">
        <v>14</v>
      </c>
      <c r="D50" s="2" t="s">
        <v>15</v>
      </c>
      <c r="E50" s="2" t="s">
        <v>38</v>
      </c>
      <c r="F50">
        <v>5</v>
      </c>
      <c r="G50">
        <v>600</v>
      </c>
      <c r="H50">
        <v>3000</v>
      </c>
      <c r="I50">
        <v>1650</v>
      </c>
      <c r="J50">
        <v>1350</v>
      </c>
    </row>
    <row r="51" spans="1:10" x14ac:dyDescent="0.3">
      <c r="A51" s="2" t="s">
        <v>90</v>
      </c>
      <c r="B51" s="3">
        <v>45785</v>
      </c>
      <c r="C51" s="2" t="s">
        <v>21</v>
      </c>
      <c r="D51" s="2" t="s">
        <v>15</v>
      </c>
      <c r="E51" s="2" t="s">
        <v>38</v>
      </c>
      <c r="F51">
        <v>8</v>
      </c>
      <c r="G51">
        <v>600</v>
      </c>
      <c r="H51">
        <v>4800</v>
      </c>
      <c r="I51">
        <v>2640</v>
      </c>
      <c r="J51">
        <v>2160</v>
      </c>
    </row>
    <row r="52" spans="1:10" x14ac:dyDescent="0.3">
      <c r="A52" s="2" t="s">
        <v>91</v>
      </c>
      <c r="B52" s="3">
        <v>45875</v>
      </c>
      <c r="C52" s="2" t="s">
        <v>14</v>
      </c>
      <c r="D52" s="2" t="s">
        <v>18</v>
      </c>
      <c r="E52" s="2" t="s">
        <v>82</v>
      </c>
      <c r="F52">
        <v>1</v>
      </c>
      <c r="G52">
        <v>220</v>
      </c>
      <c r="H52">
        <v>220</v>
      </c>
      <c r="I52">
        <v>120</v>
      </c>
      <c r="J52">
        <v>100</v>
      </c>
    </row>
    <row r="53" spans="1:10" x14ac:dyDescent="0.3">
      <c r="A53" s="2" t="s">
        <v>92</v>
      </c>
      <c r="B53" s="3">
        <v>45685</v>
      </c>
      <c r="C53" s="2" t="s">
        <v>14</v>
      </c>
      <c r="D53" s="2" t="s">
        <v>18</v>
      </c>
      <c r="E53" s="2" t="s">
        <v>26</v>
      </c>
      <c r="F53">
        <v>2</v>
      </c>
      <c r="G53">
        <v>180</v>
      </c>
      <c r="H53">
        <v>360</v>
      </c>
      <c r="I53">
        <v>160</v>
      </c>
      <c r="J53">
        <v>200</v>
      </c>
    </row>
    <row r="54" spans="1:10" x14ac:dyDescent="0.3">
      <c r="A54" s="2" t="s">
        <v>93</v>
      </c>
      <c r="B54" s="3">
        <v>45961</v>
      </c>
      <c r="C54" s="2" t="s">
        <v>14</v>
      </c>
      <c r="D54" s="2" t="s">
        <v>22</v>
      </c>
      <c r="E54" s="2" t="s">
        <v>40</v>
      </c>
      <c r="F54">
        <v>1</v>
      </c>
      <c r="G54">
        <v>900</v>
      </c>
      <c r="H54">
        <v>900</v>
      </c>
      <c r="I54">
        <v>520</v>
      </c>
      <c r="J54">
        <v>380</v>
      </c>
    </row>
    <row r="55" spans="1:10" x14ac:dyDescent="0.3">
      <c r="A55" s="2" t="s">
        <v>94</v>
      </c>
      <c r="B55" s="3">
        <v>45862</v>
      </c>
      <c r="C55" s="2" t="s">
        <v>21</v>
      </c>
      <c r="D55" s="2" t="s">
        <v>18</v>
      </c>
      <c r="E55" s="2" t="s">
        <v>19</v>
      </c>
      <c r="F55">
        <v>9</v>
      </c>
      <c r="G55">
        <v>237.5</v>
      </c>
      <c r="H55">
        <v>2137.5</v>
      </c>
      <c r="I55">
        <v>1170</v>
      </c>
      <c r="J55">
        <v>967.5</v>
      </c>
    </row>
    <row r="56" spans="1:10" x14ac:dyDescent="0.3">
      <c r="A56" s="2" t="s">
        <v>95</v>
      </c>
      <c r="B56" s="3">
        <v>45962</v>
      </c>
      <c r="C56" s="2" t="s">
        <v>37</v>
      </c>
      <c r="D56" s="2" t="s">
        <v>15</v>
      </c>
      <c r="E56" s="2" t="s">
        <v>72</v>
      </c>
      <c r="F56">
        <v>3</v>
      </c>
      <c r="G56">
        <v>1170</v>
      </c>
      <c r="H56">
        <v>3510</v>
      </c>
      <c r="I56">
        <v>2460</v>
      </c>
      <c r="J56">
        <v>1050</v>
      </c>
    </row>
    <row r="57" spans="1:10" x14ac:dyDescent="0.3">
      <c r="A57" s="2" t="s">
        <v>96</v>
      </c>
      <c r="B57" s="3">
        <v>45850</v>
      </c>
      <c r="C57" s="2" t="s">
        <v>14</v>
      </c>
      <c r="D57" s="2" t="s">
        <v>22</v>
      </c>
      <c r="E57" s="2" t="s">
        <v>97</v>
      </c>
      <c r="F57">
        <v>1</v>
      </c>
      <c r="G57">
        <v>1710</v>
      </c>
      <c r="H57">
        <v>1710</v>
      </c>
      <c r="I57">
        <v>1150</v>
      </c>
      <c r="J57">
        <v>560</v>
      </c>
    </row>
    <row r="58" spans="1:10" x14ac:dyDescent="0.3">
      <c r="A58" s="2" t="s">
        <v>98</v>
      </c>
      <c r="B58" s="3">
        <v>45900</v>
      </c>
      <c r="C58" s="2" t="s">
        <v>42</v>
      </c>
      <c r="D58" s="2" t="s">
        <v>18</v>
      </c>
      <c r="E58" s="2" t="s">
        <v>26</v>
      </c>
      <c r="F58">
        <v>2</v>
      </c>
      <c r="G58">
        <v>180</v>
      </c>
      <c r="H58">
        <v>360</v>
      </c>
      <c r="I58">
        <v>160</v>
      </c>
      <c r="J58">
        <v>200</v>
      </c>
    </row>
    <row r="59" spans="1:10" x14ac:dyDescent="0.3">
      <c r="A59" s="2" t="s">
        <v>99</v>
      </c>
      <c r="B59" s="3">
        <v>45946</v>
      </c>
      <c r="C59" s="2" t="s">
        <v>25</v>
      </c>
      <c r="D59" s="2" t="s">
        <v>22</v>
      </c>
      <c r="E59" s="2" t="s">
        <v>28</v>
      </c>
      <c r="F59">
        <v>5</v>
      </c>
      <c r="G59">
        <v>585</v>
      </c>
      <c r="H59">
        <v>2925</v>
      </c>
      <c r="I59">
        <v>1900</v>
      </c>
      <c r="J59">
        <v>1025</v>
      </c>
    </row>
    <row r="60" spans="1:10" x14ac:dyDescent="0.3">
      <c r="A60" s="2" t="s">
        <v>100</v>
      </c>
      <c r="B60" s="3">
        <v>45958</v>
      </c>
      <c r="C60" s="2" t="s">
        <v>14</v>
      </c>
      <c r="D60" s="2" t="s">
        <v>18</v>
      </c>
      <c r="E60" s="2" t="s">
        <v>65</v>
      </c>
      <c r="F60">
        <v>7</v>
      </c>
      <c r="G60">
        <v>288</v>
      </c>
      <c r="H60">
        <v>2016</v>
      </c>
      <c r="I60">
        <v>1470</v>
      </c>
      <c r="J60">
        <v>546</v>
      </c>
    </row>
    <row r="61" spans="1:10" x14ac:dyDescent="0.3">
      <c r="A61" s="2" t="s">
        <v>101</v>
      </c>
      <c r="B61" s="3">
        <v>45744</v>
      </c>
      <c r="C61" s="2" t="s">
        <v>21</v>
      </c>
      <c r="D61" s="2" t="s">
        <v>22</v>
      </c>
      <c r="E61" s="2" t="s">
        <v>23</v>
      </c>
      <c r="F61">
        <v>2</v>
      </c>
      <c r="G61">
        <v>9500</v>
      </c>
      <c r="H61">
        <v>19000</v>
      </c>
      <c r="I61">
        <v>15200</v>
      </c>
      <c r="J61">
        <v>3800</v>
      </c>
    </row>
    <row r="62" spans="1:10" x14ac:dyDescent="0.3">
      <c r="A62" s="2" t="s">
        <v>102</v>
      </c>
      <c r="B62" s="3">
        <v>45675</v>
      </c>
      <c r="C62" s="2" t="s">
        <v>42</v>
      </c>
      <c r="D62" s="2" t="s">
        <v>18</v>
      </c>
      <c r="E62" s="2" t="s">
        <v>52</v>
      </c>
      <c r="F62">
        <v>12</v>
      </c>
      <c r="G62">
        <v>150</v>
      </c>
      <c r="H62">
        <v>1800</v>
      </c>
      <c r="I62">
        <v>780</v>
      </c>
      <c r="J62">
        <v>1020</v>
      </c>
    </row>
    <row r="63" spans="1:10" x14ac:dyDescent="0.3">
      <c r="A63" s="2" t="s">
        <v>103</v>
      </c>
      <c r="B63" s="3">
        <v>45929</v>
      </c>
      <c r="C63" s="2" t="s">
        <v>42</v>
      </c>
      <c r="D63" s="2" t="s">
        <v>32</v>
      </c>
      <c r="E63" s="2" t="s">
        <v>62</v>
      </c>
      <c r="F63">
        <v>10</v>
      </c>
      <c r="G63">
        <v>4200</v>
      </c>
      <c r="H63">
        <v>42000</v>
      </c>
      <c r="I63">
        <v>29000</v>
      </c>
      <c r="J63">
        <v>13000</v>
      </c>
    </row>
    <row r="64" spans="1:10" x14ac:dyDescent="0.3">
      <c r="A64" s="2" t="s">
        <v>104</v>
      </c>
      <c r="B64" s="3">
        <v>45996</v>
      </c>
      <c r="C64" s="2" t="s">
        <v>21</v>
      </c>
      <c r="D64" s="2" t="s">
        <v>15</v>
      </c>
      <c r="E64" s="2" t="s">
        <v>38</v>
      </c>
      <c r="F64">
        <v>2</v>
      </c>
      <c r="G64">
        <v>570</v>
      </c>
      <c r="H64">
        <v>1140</v>
      </c>
      <c r="I64">
        <v>660</v>
      </c>
      <c r="J64">
        <v>480</v>
      </c>
    </row>
    <row r="65" spans="1:10" x14ac:dyDescent="0.3">
      <c r="A65" s="2" t="s">
        <v>105</v>
      </c>
      <c r="B65" s="3">
        <v>45670</v>
      </c>
      <c r="C65" s="2" t="s">
        <v>25</v>
      </c>
      <c r="D65" s="2" t="s">
        <v>32</v>
      </c>
      <c r="E65" s="2" t="s">
        <v>62</v>
      </c>
      <c r="F65">
        <v>12</v>
      </c>
      <c r="G65">
        <v>4200</v>
      </c>
      <c r="H65">
        <v>50400</v>
      </c>
      <c r="I65">
        <v>34800</v>
      </c>
      <c r="J65">
        <v>15600</v>
      </c>
    </row>
    <row r="66" spans="1:10" x14ac:dyDescent="0.3">
      <c r="A66" s="2" t="s">
        <v>106</v>
      </c>
      <c r="B66" s="3">
        <v>45803</v>
      </c>
      <c r="C66" s="2" t="s">
        <v>25</v>
      </c>
      <c r="D66" s="2" t="s">
        <v>22</v>
      </c>
      <c r="E66" s="2" t="s">
        <v>45</v>
      </c>
      <c r="F66">
        <v>6</v>
      </c>
      <c r="G66">
        <v>1200</v>
      </c>
      <c r="H66">
        <v>7200</v>
      </c>
      <c r="I66">
        <v>4320</v>
      </c>
      <c r="J66">
        <v>2880</v>
      </c>
    </row>
    <row r="67" spans="1:10" x14ac:dyDescent="0.3">
      <c r="A67" s="2" t="s">
        <v>107</v>
      </c>
      <c r="B67" s="3">
        <v>45669</v>
      </c>
      <c r="C67" s="2" t="s">
        <v>21</v>
      </c>
      <c r="D67" s="2" t="s">
        <v>18</v>
      </c>
      <c r="E67" s="2" t="s">
        <v>52</v>
      </c>
      <c r="F67">
        <v>6</v>
      </c>
      <c r="G67">
        <v>150</v>
      </c>
      <c r="H67">
        <v>900</v>
      </c>
      <c r="I67">
        <v>390</v>
      </c>
      <c r="J67">
        <v>510</v>
      </c>
    </row>
    <row r="68" spans="1:10" x14ac:dyDescent="0.3">
      <c r="A68" s="2" t="s">
        <v>108</v>
      </c>
      <c r="B68" s="3">
        <v>45878</v>
      </c>
      <c r="C68" s="2" t="s">
        <v>21</v>
      </c>
      <c r="D68" s="2" t="s">
        <v>22</v>
      </c>
      <c r="E68" s="2" t="s">
        <v>28</v>
      </c>
      <c r="F68">
        <v>10</v>
      </c>
      <c r="G68">
        <v>617.5</v>
      </c>
      <c r="H68">
        <v>6175</v>
      </c>
      <c r="I68">
        <v>3800</v>
      </c>
      <c r="J68">
        <v>2375</v>
      </c>
    </row>
    <row r="69" spans="1:10" x14ac:dyDescent="0.3">
      <c r="A69" s="2" t="s">
        <v>109</v>
      </c>
      <c r="B69" s="3">
        <v>45672</v>
      </c>
      <c r="C69" s="2" t="s">
        <v>37</v>
      </c>
      <c r="D69" s="2" t="s">
        <v>32</v>
      </c>
      <c r="E69" s="2" t="s">
        <v>55</v>
      </c>
      <c r="F69">
        <v>3</v>
      </c>
      <c r="G69">
        <v>5220</v>
      </c>
      <c r="H69">
        <v>15660</v>
      </c>
      <c r="I69">
        <v>12600</v>
      </c>
      <c r="J69">
        <v>3060</v>
      </c>
    </row>
    <row r="70" spans="1:10" x14ac:dyDescent="0.3">
      <c r="A70" s="2" t="s">
        <v>110</v>
      </c>
      <c r="B70" s="3">
        <v>45980</v>
      </c>
      <c r="C70" s="2" t="s">
        <v>25</v>
      </c>
      <c r="D70" s="2" t="s">
        <v>22</v>
      </c>
      <c r="E70" s="2" t="s">
        <v>23</v>
      </c>
      <c r="F70">
        <v>9</v>
      </c>
      <c r="G70">
        <v>8550</v>
      </c>
      <c r="H70">
        <v>76950</v>
      </c>
      <c r="I70">
        <v>68400</v>
      </c>
      <c r="J70">
        <v>8550</v>
      </c>
    </row>
    <row r="71" spans="1:10" x14ac:dyDescent="0.3">
      <c r="A71" s="2" t="s">
        <v>111</v>
      </c>
      <c r="B71" s="3">
        <v>45805</v>
      </c>
      <c r="C71" s="2" t="s">
        <v>37</v>
      </c>
      <c r="D71" s="2" t="s">
        <v>18</v>
      </c>
      <c r="E71" s="2" t="s">
        <v>65</v>
      </c>
      <c r="F71">
        <v>4</v>
      </c>
      <c r="G71">
        <v>320</v>
      </c>
      <c r="H71">
        <v>1280</v>
      </c>
      <c r="I71">
        <v>840</v>
      </c>
      <c r="J71">
        <v>440</v>
      </c>
    </row>
    <row r="72" spans="1:10" x14ac:dyDescent="0.3">
      <c r="A72" s="2" t="s">
        <v>112</v>
      </c>
      <c r="B72" s="3">
        <v>45932</v>
      </c>
      <c r="C72" s="2" t="s">
        <v>25</v>
      </c>
      <c r="D72" s="2" t="s">
        <v>22</v>
      </c>
      <c r="E72" s="2" t="s">
        <v>40</v>
      </c>
      <c r="F72">
        <v>7</v>
      </c>
      <c r="G72">
        <v>855</v>
      </c>
      <c r="H72">
        <v>5985</v>
      </c>
      <c r="I72">
        <v>3640</v>
      </c>
      <c r="J72">
        <v>2345</v>
      </c>
    </row>
    <row r="73" spans="1:10" x14ac:dyDescent="0.3">
      <c r="A73" s="2" t="s">
        <v>113</v>
      </c>
      <c r="B73" s="3">
        <v>45875</v>
      </c>
      <c r="C73" s="2" t="s">
        <v>42</v>
      </c>
      <c r="D73" s="2" t="s">
        <v>22</v>
      </c>
      <c r="E73" s="2" t="s">
        <v>97</v>
      </c>
      <c r="F73">
        <v>8</v>
      </c>
      <c r="G73">
        <v>1620</v>
      </c>
      <c r="H73">
        <v>12960</v>
      </c>
      <c r="I73">
        <v>9200</v>
      </c>
      <c r="J73">
        <v>3760</v>
      </c>
    </row>
    <row r="74" spans="1:10" x14ac:dyDescent="0.3">
      <c r="A74" s="2" t="s">
        <v>114</v>
      </c>
      <c r="B74" s="3">
        <v>45804</v>
      </c>
      <c r="C74" s="2" t="s">
        <v>37</v>
      </c>
      <c r="D74" s="2" t="s">
        <v>15</v>
      </c>
      <c r="E74" s="2" t="s">
        <v>49</v>
      </c>
      <c r="F74">
        <v>12</v>
      </c>
      <c r="G74">
        <v>550</v>
      </c>
      <c r="H74">
        <v>6600</v>
      </c>
      <c r="I74">
        <v>3600</v>
      </c>
      <c r="J74">
        <v>3000</v>
      </c>
    </row>
    <row r="75" spans="1:10" x14ac:dyDescent="0.3">
      <c r="A75" s="2" t="s">
        <v>115</v>
      </c>
      <c r="B75" s="3">
        <v>45745</v>
      </c>
      <c r="C75" s="2" t="s">
        <v>14</v>
      </c>
      <c r="D75" s="2" t="s">
        <v>15</v>
      </c>
      <c r="E75" s="2" t="s">
        <v>16</v>
      </c>
      <c r="F75">
        <v>6</v>
      </c>
      <c r="G75">
        <v>450</v>
      </c>
      <c r="H75">
        <v>2700</v>
      </c>
      <c r="I75">
        <v>1440</v>
      </c>
      <c r="J75">
        <v>1260</v>
      </c>
    </row>
    <row r="76" spans="1:10" x14ac:dyDescent="0.3">
      <c r="A76" s="2" t="s">
        <v>116</v>
      </c>
      <c r="B76" s="3">
        <v>45969</v>
      </c>
      <c r="C76" s="2" t="s">
        <v>14</v>
      </c>
      <c r="D76" s="2" t="s">
        <v>15</v>
      </c>
      <c r="E76" s="2" t="s">
        <v>43</v>
      </c>
      <c r="F76">
        <v>6</v>
      </c>
      <c r="G76">
        <v>700</v>
      </c>
      <c r="H76">
        <v>4200</v>
      </c>
      <c r="I76">
        <v>2460</v>
      </c>
      <c r="J76">
        <v>1740</v>
      </c>
    </row>
    <row r="77" spans="1:10" x14ac:dyDescent="0.3">
      <c r="A77" s="2" t="s">
        <v>117</v>
      </c>
      <c r="B77" s="3">
        <v>45974</v>
      </c>
      <c r="C77" s="2" t="s">
        <v>42</v>
      </c>
      <c r="D77" s="2" t="s">
        <v>22</v>
      </c>
      <c r="E77" s="2" t="s">
        <v>28</v>
      </c>
      <c r="F77">
        <v>2</v>
      </c>
      <c r="G77">
        <v>617.5</v>
      </c>
      <c r="H77">
        <v>1235</v>
      </c>
      <c r="I77">
        <v>760</v>
      </c>
      <c r="J77">
        <v>475</v>
      </c>
    </row>
    <row r="78" spans="1:10" x14ac:dyDescent="0.3">
      <c r="A78" s="2" t="s">
        <v>118</v>
      </c>
      <c r="B78" s="3">
        <v>45905</v>
      </c>
      <c r="C78" s="2" t="s">
        <v>21</v>
      </c>
      <c r="D78" s="2" t="s">
        <v>22</v>
      </c>
      <c r="E78" s="2" t="s">
        <v>40</v>
      </c>
      <c r="F78">
        <v>2</v>
      </c>
      <c r="G78">
        <v>900</v>
      </c>
      <c r="H78">
        <v>1800</v>
      </c>
      <c r="I78">
        <v>1040</v>
      </c>
      <c r="J78">
        <v>760</v>
      </c>
    </row>
    <row r="79" spans="1:10" x14ac:dyDescent="0.3">
      <c r="A79" s="2" t="s">
        <v>119</v>
      </c>
      <c r="B79" s="3">
        <v>45833</v>
      </c>
      <c r="C79" s="2" t="s">
        <v>37</v>
      </c>
      <c r="D79" s="2" t="s">
        <v>18</v>
      </c>
      <c r="E79" s="2" t="s">
        <v>65</v>
      </c>
      <c r="F79">
        <v>3</v>
      </c>
      <c r="G79">
        <v>320</v>
      </c>
      <c r="H79">
        <v>960</v>
      </c>
      <c r="I79">
        <v>630</v>
      </c>
      <c r="J79">
        <v>330</v>
      </c>
    </row>
    <row r="80" spans="1:10" x14ac:dyDescent="0.3">
      <c r="A80" s="2" t="s">
        <v>120</v>
      </c>
      <c r="B80" s="3">
        <v>45777</v>
      </c>
      <c r="C80" s="2" t="s">
        <v>42</v>
      </c>
      <c r="D80" s="2" t="s">
        <v>32</v>
      </c>
      <c r="E80" s="2" t="s">
        <v>47</v>
      </c>
      <c r="F80">
        <v>9</v>
      </c>
      <c r="G80">
        <v>8075</v>
      </c>
      <c r="H80">
        <v>72675</v>
      </c>
      <c r="I80">
        <v>58500</v>
      </c>
      <c r="J80">
        <v>14175</v>
      </c>
    </row>
    <row r="81" spans="1:10" x14ac:dyDescent="0.3">
      <c r="A81" s="2" t="s">
        <v>121</v>
      </c>
      <c r="B81" s="3">
        <v>45953</v>
      </c>
      <c r="C81" s="2" t="s">
        <v>42</v>
      </c>
      <c r="D81" s="2" t="s">
        <v>32</v>
      </c>
      <c r="E81" s="2" t="s">
        <v>47</v>
      </c>
      <c r="F81">
        <v>11</v>
      </c>
      <c r="G81">
        <v>8500</v>
      </c>
      <c r="H81">
        <v>93500</v>
      </c>
      <c r="I81">
        <v>71500</v>
      </c>
      <c r="J81">
        <v>22000</v>
      </c>
    </row>
    <row r="82" spans="1:10" x14ac:dyDescent="0.3">
      <c r="A82" s="2" t="s">
        <v>122</v>
      </c>
      <c r="B82" s="3">
        <v>45879</v>
      </c>
      <c r="C82" s="2" t="s">
        <v>25</v>
      </c>
      <c r="D82" s="2" t="s">
        <v>22</v>
      </c>
      <c r="E82" s="2" t="s">
        <v>97</v>
      </c>
      <c r="F82">
        <v>7</v>
      </c>
      <c r="G82">
        <v>1710</v>
      </c>
      <c r="H82">
        <v>11970</v>
      </c>
      <c r="I82">
        <v>8050</v>
      </c>
      <c r="J82">
        <v>3920</v>
      </c>
    </row>
    <row r="83" spans="1:10" x14ac:dyDescent="0.3">
      <c r="A83" s="2" t="s">
        <v>123</v>
      </c>
      <c r="B83" s="3">
        <v>45889</v>
      </c>
      <c r="C83" s="2" t="s">
        <v>37</v>
      </c>
      <c r="D83" s="2" t="s">
        <v>22</v>
      </c>
      <c r="E83" s="2" t="s">
        <v>97</v>
      </c>
      <c r="F83">
        <v>5</v>
      </c>
      <c r="G83">
        <v>1800</v>
      </c>
      <c r="H83">
        <v>9000</v>
      </c>
      <c r="I83">
        <v>5750</v>
      </c>
      <c r="J83">
        <v>3250</v>
      </c>
    </row>
    <row r="84" spans="1:10" x14ac:dyDescent="0.3">
      <c r="A84" s="2" t="s">
        <v>124</v>
      </c>
      <c r="B84" s="3">
        <v>45782</v>
      </c>
      <c r="C84" s="2" t="s">
        <v>25</v>
      </c>
      <c r="D84" s="2" t="s">
        <v>22</v>
      </c>
      <c r="E84" s="2" t="s">
        <v>28</v>
      </c>
      <c r="F84">
        <v>12</v>
      </c>
      <c r="G84">
        <v>650</v>
      </c>
      <c r="H84">
        <v>7800</v>
      </c>
      <c r="I84">
        <v>4560</v>
      </c>
      <c r="J84">
        <v>3240</v>
      </c>
    </row>
    <row r="85" spans="1:10" x14ac:dyDescent="0.3">
      <c r="A85" s="2" t="s">
        <v>125</v>
      </c>
      <c r="B85" s="3">
        <v>45710</v>
      </c>
      <c r="C85" s="2" t="s">
        <v>25</v>
      </c>
      <c r="D85" s="2" t="s">
        <v>22</v>
      </c>
      <c r="E85" s="2" t="s">
        <v>45</v>
      </c>
      <c r="F85">
        <v>12</v>
      </c>
      <c r="G85">
        <v>1140</v>
      </c>
      <c r="H85">
        <v>13680</v>
      </c>
      <c r="I85">
        <v>8640</v>
      </c>
      <c r="J85">
        <v>5040</v>
      </c>
    </row>
    <row r="86" spans="1:10" x14ac:dyDescent="0.3">
      <c r="A86" s="2" t="s">
        <v>126</v>
      </c>
      <c r="B86" s="3">
        <v>45918</v>
      </c>
      <c r="C86" s="2" t="s">
        <v>37</v>
      </c>
      <c r="D86" s="2" t="s">
        <v>22</v>
      </c>
      <c r="E86" s="2" t="s">
        <v>97</v>
      </c>
      <c r="F86">
        <v>9</v>
      </c>
      <c r="G86">
        <v>1710</v>
      </c>
      <c r="H86">
        <v>15390</v>
      </c>
      <c r="I86">
        <v>10350</v>
      </c>
      <c r="J86">
        <v>5040</v>
      </c>
    </row>
    <row r="87" spans="1:10" x14ac:dyDescent="0.3">
      <c r="A87" s="2" t="s">
        <v>127</v>
      </c>
      <c r="B87" s="3">
        <v>45776</v>
      </c>
      <c r="C87" s="2" t="s">
        <v>42</v>
      </c>
      <c r="D87" s="2" t="s">
        <v>32</v>
      </c>
      <c r="E87" s="2" t="s">
        <v>33</v>
      </c>
      <c r="F87">
        <v>4</v>
      </c>
      <c r="G87">
        <v>6200</v>
      </c>
      <c r="H87">
        <v>24800</v>
      </c>
      <c r="I87">
        <v>18000</v>
      </c>
      <c r="J87">
        <v>6800</v>
      </c>
    </row>
    <row r="88" spans="1:10" x14ac:dyDescent="0.3">
      <c r="A88" s="2" t="s">
        <v>128</v>
      </c>
      <c r="B88" s="3">
        <v>45987</v>
      </c>
      <c r="C88" s="2" t="s">
        <v>14</v>
      </c>
      <c r="D88" s="2" t="s">
        <v>32</v>
      </c>
      <c r="E88" s="2" t="s">
        <v>33</v>
      </c>
      <c r="F88">
        <v>4</v>
      </c>
      <c r="G88">
        <v>6200</v>
      </c>
      <c r="H88">
        <v>24800</v>
      </c>
      <c r="I88">
        <v>18000</v>
      </c>
      <c r="J88">
        <v>6800</v>
      </c>
    </row>
    <row r="89" spans="1:10" x14ac:dyDescent="0.3">
      <c r="A89" s="2" t="s">
        <v>129</v>
      </c>
      <c r="B89" s="3">
        <v>45946</v>
      </c>
      <c r="C89" s="2" t="s">
        <v>37</v>
      </c>
      <c r="D89" s="2" t="s">
        <v>15</v>
      </c>
      <c r="E89" s="2" t="s">
        <v>43</v>
      </c>
      <c r="F89">
        <v>2</v>
      </c>
      <c r="G89">
        <v>630</v>
      </c>
      <c r="H89">
        <v>1260</v>
      </c>
      <c r="I89">
        <v>820</v>
      </c>
      <c r="J89">
        <v>440</v>
      </c>
    </row>
    <row r="90" spans="1:10" x14ac:dyDescent="0.3">
      <c r="A90" s="2" t="s">
        <v>130</v>
      </c>
      <c r="B90" s="3">
        <v>45943</v>
      </c>
      <c r="C90" s="2" t="s">
        <v>14</v>
      </c>
      <c r="D90" s="2" t="s">
        <v>18</v>
      </c>
      <c r="E90" s="2" t="s">
        <v>52</v>
      </c>
      <c r="F90">
        <v>6</v>
      </c>
      <c r="G90">
        <v>135</v>
      </c>
      <c r="H90">
        <v>810</v>
      </c>
      <c r="I90">
        <v>390</v>
      </c>
      <c r="J90">
        <v>420</v>
      </c>
    </row>
    <row r="91" spans="1:10" x14ac:dyDescent="0.3">
      <c r="A91" s="2" t="s">
        <v>131</v>
      </c>
      <c r="B91" s="3">
        <v>45892</v>
      </c>
      <c r="C91" s="2" t="s">
        <v>37</v>
      </c>
      <c r="D91" s="2" t="s">
        <v>15</v>
      </c>
      <c r="E91" s="2" t="s">
        <v>43</v>
      </c>
      <c r="F91">
        <v>8</v>
      </c>
      <c r="G91">
        <v>665</v>
      </c>
      <c r="H91">
        <v>5320</v>
      </c>
      <c r="I91">
        <v>3280</v>
      </c>
      <c r="J91">
        <v>2040</v>
      </c>
    </row>
    <row r="92" spans="1:10" x14ac:dyDescent="0.3">
      <c r="A92" s="2" t="s">
        <v>132</v>
      </c>
      <c r="B92" s="3">
        <v>45826</v>
      </c>
      <c r="C92" s="2" t="s">
        <v>14</v>
      </c>
      <c r="D92" s="2" t="s">
        <v>32</v>
      </c>
      <c r="E92" s="2" t="s">
        <v>55</v>
      </c>
      <c r="F92">
        <v>4</v>
      </c>
      <c r="G92">
        <v>5800</v>
      </c>
      <c r="H92">
        <v>23200</v>
      </c>
      <c r="I92">
        <v>16800</v>
      </c>
      <c r="J92">
        <v>6400</v>
      </c>
    </row>
    <row r="93" spans="1:10" x14ac:dyDescent="0.3">
      <c r="A93" s="2" t="s">
        <v>133</v>
      </c>
      <c r="B93" s="3">
        <v>45751</v>
      </c>
      <c r="C93" s="2" t="s">
        <v>42</v>
      </c>
      <c r="D93" s="2" t="s">
        <v>15</v>
      </c>
      <c r="E93" s="2" t="s">
        <v>16</v>
      </c>
      <c r="F93">
        <v>4</v>
      </c>
      <c r="G93">
        <v>427.5</v>
      </c>
      <c r="H93">
        <v>1710</v>
      </c>
      <c r="I93">
        <v>960</v>
      </c>
      <c r="J93">
        <v>750</v>
      </c>
    </row>
    <row r="94" spans="1:10" x14ac:dyDescent="0.3">
      <c r="A94" s="2" t="s">
        <v>134</v>
      </c>
      <c r="B94" s="3">
        <v>45927</v>
      </c>
      <c r="C94" s="2" t="s">
        <v>21</v>
      </c>
      <c r="D94" s="2" t="s">
        <v>32</v>
      </c>
      <c r="E94" s="2" t="s">
        <v>47</v>
      </c>
      <c r="F94">
        <v>3</v>
      </c>
      <c r="G94">
        <v>8500</v>
      </c>
      <c r="H94">
        <v>25500</v>
      </c>
      <c r="I94">
        <v>19500</v>
      </c>
      <c r="J94">
        <v>6000</v>
      </c>
    </row>
    <row r="95" spans="1:10" x14ac:dyDescent="0.3">
      <c r="A95" s="2" t="s">
        <v>135</v>
      </c>
      <c r="B95" s="3">
        <v>45674</v>
      </c>
      <c r="C95" s="2" t="s">
        <v>14</v>
      </c>
      <c r="D95" s="2" t="s">
        <v>18</v>
      </c>
      <c r="E95" s="2" t="s">
        <v>82</v>
      </c>
      <c r="F95">
        <v>10</v>
      </c>
      <c r="G95">
        <v>220</v>
      </c>
      <c r="H95">
        <v>2200</v>
      </c>
      <c r="I95">
        <v>1200</v>
      </c>
      <c r="J95">
        <v>1000</v>
      </c>
    </row>
    <row r="96" spans="1:10" x14ac:dyDescent="0.3">
      <c r="A96" s="2" t="s">
        <v>136</v>
      </c>
      <c r="B96" s="3">
        <v>45752</v>
      </c>
      <c r="C96" s="2" t="s">
        <v>14</v>
      </c>
      <c r="D96" s="2" t="s">
        <v>22</v>
      </c>
      <c r="E96" s="2" t="s">
        <v>97</v>
      </c>
      <c r="F96">
        <v>10</v>
      </c>
      <c r="G96">
        <v>1620</v>
      </c>
      <c r="H96">
        <v>16200</v>
      </c>
      <c r="I96">
        <v>11500</v>
      </c>
      <c r="J96">
        <v>4700</v>
      </c>
    </row>
    <row r="97" spans="1:10" x14ac:dyDescent="0.3">
      <c r="A97" s="2" t="s">
        <v>137</v>
      </c>
      <c r="B97" s="3">
        <v>45688</v>
      </c>
      <c r="C97" s="2" t="s">
        <v>21</v>
      </c>
      <c r="D97" s="2" t="s">
        <v>22</v>
      </c>
      <c r="E97" s="2" t="s">
        <v>45</v>
      </c>
      <c r="F97">
        <v>2</v>
      </c>
      <c r="G97">
        <v>1200</v>
      </c>
      <c r="H97">
        <v>2400</v>
      </c>
      <c r="I97">
        <v>1440</v>
      </c>
      <c r="J97">
        <v>960</v>
      </c>
    </row>
    <row r="98" spans="1:10" x14ac:dyDescent="0.3">
      <c r="A98" s="2" t="s">
        <v>138</v>
      </c>
      <c r="B98" s="3">
        <v>45809</v>
      </c>
      <c r="C98" s="2" t="s">
        <v>14</v>
      </c>
      <c r="D98" s="2" t="s">
        <v>32</v>
      </c>
      <c r="E98" s="2" t="s">
        <v>62</v>
      </c>
      <c r="F98">
        <v>11</v>
      </c>
      <c r="G98">
        <v>4200</v>
      </c>
      <c r="H98">
        <v>46200</v>
      </c>
      <c r="I98">
        <v>31900</v>
      </c>
      <c r="J98">
        <v>14300</v>
      </c>
    </row>
    <row r="99" spans="1:10" x14ac:dyDescent="0.3">
      <c r="A99" s="2" t="s">
        <v>139</v>
      </c>
      <c r="B99" s="3">
        <v>45781</v>
      </c>
      <c r="C99" s="2" t="s">
        <v>42</v>
      </c>
      <c r="D99" s="2" t="s">
        <v>18</v>
      </c>
      <c r="E99" s="2" t="s">
        <v>19</v>
      </c>
      <c r="F99">
        <v>10</v>
      </c>
      <c r="G99">
        <v>225</v>
      </c>
      <c r="H99">
        <v>2250</v>
      </c>
      <c r="I99">
        <v>1300</v>
      </c>
      <c r="J99">
        <v>950</v>
      </c>
    </row>
    <row r="100" spans="1:10" x14ac:dyDescent="0.3">
      <c r="A100" s="2" t="s">
        <v>140</v>
      </c>
      <c r="B100" s="3">
        <v>45847</v>
      </c>
      <c r="C100" s="2" t="s">
        <v>37</v>
      </c>
      <c r="D100" s="2" t="s">
        <v>15</v>
      </c>
      <c r="E100" s="2" t="s">
        <v>43</v>
      </c>
      <c r="F100">
        <v>6</v>
      </c>
      <c r="G100">
        <v>630</v>
      </c>
      <c r="H100">
        <v>3780</v>
      </c>
      <c r="I100">
        <v>2460</v>
      </c>
      <c r="J100">
        <v>1320</v>
      </c>
    </row>
    <row r="101" spans="1:10" x14ac:dyDescent="0.3">
      <c r="A101" s="2" t="s">
        <v>141</v>
      </c>
      <c r="B101" s="3">
        <v>45960</v>
      </c>
      <c r="C101" s="2" t="s">
        <v>42</v>
      </c>
      <c r="D101" s="2" t="s">
        <v>18</v>
      </c>
      <c r="E101" s="2" t="s">
        <v>82</v>
      </c>
      <c r="F101">
        <v>10</v>
      </c>
      <c r="G101">
        <v>220</v>
      </c>
      <c r="H101">
        <v>2200</v>
      </c>
      <c r="I101">
        <v>1200</v>
      </c>
      <c r="J101">
        <v>1000</v>
      </c>
    </row>
    <row r="102" spans="1:10" x14ac:dyDescent="0.3">
      <c r="A102" s="2" t="s">
        <v>142</v>
      </c>
      <c r="B102" s="3">
        <v>45979</v>
      </c>
      <c r="C102" s="2" t="s">
        <v>25</v>
      </c>
      <c r="D102" s="2" t="s">
        <v>32</v>
      </c>
      <c r="E102" s="2" t="s">
        <v>47</v>
      </c>
      <c r="F102">
        <v>6</v>
      </c>
      <c r="G102">
        <v>8500</v>
      </c>
      <c r="H102">
        <v>51000</v>
      </c>
      <c r="I102">
        <v>39000</v>
      </c>
      <c r="J102">
        <v>12000</v>
      </c>
    </row>
    <row r="103" spans="1:10" x14ac:dyDescent="0.3">
      <c r="A103" s="2" t="s">
        <v>143</v>
      </c>
      <c r="B103" s="3">
        <v>46011</v>
      </c>
      <c r="C103" s="2" t="s">
        <v>25</v>
      </c>
      <c r="D103" s="2" t="s">
        <v>32</v>
      </c>
      <c r="E103" s="2" t="s">
        <v>55</v>
      </c>
      <c r="F103">
        <v>12</v>
      </c>
      <c r="G103">
        <v>5800</v>
      </c>
      <c r="H103">
        <v>69600</v>
      </c>
      <c r="I103">
        <v>50400</v>
      </c>
      <c r="J103">
        <v>19200</v>
      </c>
    </row>
    <row r="104" spans="1:10" x14ac:dyDescent="0.3">
      <c r="A104" s="2" t="s">
        <v>144</v>
      </c>
      <c r="B104" s="3">
        <v>45850</v>
      </c>
      <c r="C104" s="2" t="s">
        <v>14</v>
      </c>
      <c r="D104" s="2" t="s">
        <v>15</v>
      </c>
      <c r="E104" s="2" t="s">
        <v>38</v>
      </c>
      <c r="F104">
        <v>5</v>
      </c>
      <c r="G104">
        <v>600</v>
      </c>
      <c r="H104">
        <v>3000</v>
      </c>
      <c r="I104">
        <v>1650</v>
      </c>
      <c r="J104">
        <v>1350</v>
      </c>
    </row>
    <row r="105" spans="1:10" x14ac:dyDescent="0.3">
      <c r="A105" s="2" t="s">
        <v>145</v>
      </c>
      <c r="B105" s="3">
        <v>45968</v>
      </c>
      <c r="C105" s="2" t="s">
        <v>42</v>
      </c>
      <c r="D105" s="2" t="s">
        <v>22</v>
      </c>
      <c r="E105" s="2" t="s">
        <v>45</v>
      </c>
      <c r="F105">
        <v>10</v>
      </c>
      <c r="G105">
        <v>1200</v>
      </c>
      <c r="H105">
        <v>12000</v>
      </c>
      <c r="I105">
        <v>7200</v>
      </c>
      <c r="J105">
        <v>4800</v>
      </c>
    </row>
    <row r="106" spans="1:10" x14ac:dyDescent="0.3">
      <c r="A106" s="2" t="s">
        <v>146</v>
      </c>
      <c r="B106" s="3">
        <v>45751</v>
      </c>
      <c r="C106" s="2" t="s">
        <v>14</v>
      </c>
      <c r="D106" s="2" t="s">
        <v>18</v>
      </c>
      <c r="E106" s="2" t="s">
        <v>26</v>
      </c>
      <c r="F106">
        <v>12</v>
      </c>
      <c r="G106">
        <v>162</v>
      </c>
      <c r="H106">
        <v>1944</v>
      </c>
      <c r="I106">
        <v>960</v>
      </c>
      <c r="J106">
        <v>984</v>
      </c>
    </row>
    <row r="107" spans="1:10" x14ac:dyDescent="0.3">
      <c r="A107" s="2" t="s">
        <v>147</v>
      </c>
      <c r="B107" s="3">
        <v>45873</v>
      </c>
      <c r="C107" s="2" t="s">
        <v>25</v>
      </c>
      <c r="D107" s="2" t="s">
        <v>22</v>
      </c>
      <c r="E107" s="2" t="s">
        <v>28</v>
      </c>
      <c r="F107">
        <v>4</v>
      </c>
      <c r="G107">
        <v>617.5</v>
      </c>
      <c r="H107">
        <v>2470</v>
      </c>
      <c r="I107">
        <v>1520</v>
      </c>
      <c r="J107">
        <v>950</v>
      </c>
    </row>
    <row r="108" spans="1:10" x14ac:dyDescent="0.3">
      <c r="A108" s="2" t="s">
        <v>148</v>
      </c>
      <c r="B108" s="3">
        <v>45698</v>
      </c>
      <c r="C108" s="2" t="s">
        <v>14</v>
      </c>
      <c r="D108" s="2" t="s">
        <v>18</v>
      </c>
      <c r="E108" s="2" t="s">
        <v>65</v>
      </c>
      <c r="F108">
        <v>6</v>
      </c>
      <c r="G108">
        <v>320</v>
      </c>
      <c r="H108">
        <v>1920</v>
      </c>
      <c r="I108">
        <v>1260</v>
      </c>
      <c r="J108">
        <v>660</v>
      </c>
    </row>
    <row r="109" spans="1:10" x14ac:dyDescent="0.3">
      <c r="A109" s="2" t="s">
        <v>149</v>
      </c>
      <c r="B109" s="3">
        <v>45671</v>
      </c>
      <c r="C109" s="2" t="s">
        <v>42</v>
      </c>
      <c r="D109" s="2" t="s">
        <v>18</v>
      </c>
      <c r="E109" s="2" t="s">
        <v>65</v>
      </c>
      <c r="F109">
        <v>3</v>
      </c>
      <c r="G109">
        <v>288</v>
      </c>
      <c r="H109">
        <v>864</v>
      </c>
      <c r="I109">
        <v>630</v>
      </c>
      <c r="J109">
        <v>234</v>
      </c>
    </row>
    <row r="110" spans="1:10" x14ac:dyDescent="0.3">
      <c r="A110" s="2" t="s">
        <v>150</v>
      </c>
      <c r="B110" s="3">
        <v>45801</v>
      </c>
      <c r="C110" s="2" t="s">
        <v>42</v>
      </c>
      <c r="D110" s="2" t="s">
        <v>22</v>
      </c>
      <c r="E110" s="2" t="s">
        <v>23</v>
      </c>
      <c r="F110">
        <v>9</v>
      </c>
      <c r="G110">
        <v>9500</v>
      </c>
      <c r="H110">
        <v>85500</v>
      </c>
      <c r="I110">
        <v>68400</v>
      </c>
      <c r="J110">
        <v>17100</v>
      </c>
    </row>
    <row r="111" spans="1:10" x14ac:dyDescent="0.3">
      <c r="A111" s="2" t="s">
        <v>151</v>
      </c>
      <c r="B111" s="3">
        <v>45708</v>
      </c>
      <c r="C111" s="2" t="s">
        <v>14</v>
      </c>
      <c r="D111" s="2" t="s">
        <v>32</v>
      </c>
      <c r="E111" s="2" t="s">
        <v>55</v>
      </c>
      <c r="F111">
        <v>5</v>
      </c>
      <c r="G111">
        <v>5800</v>
      </c>
      <c r="H111">
        <v>29000</v>
      </c>
      <c r="I111">
        <v>21000</v>
      </c>
      <c r="J111">
        <v>8000</v>
      </c>
    </row>
    <row r="112" spans="1:10" x14ac:dyDescent="0.3">
      <c r="A112" s="2" t="s">
        <v>152</v>
      </c>
      <c r="B112" s="3">
        <v>46003</v>
      </c>
      <c r="C112" s="2" t="s">
        <v>21</v>
      </c>
      <c r="D112" s="2" t="s">
        <v>18</v>
      </c>
      <c r="E112" s="2" t="s">
        <v>26</v>
      </c>
      <c r="F112">
        <v>8</v>
      </c>
      <c r="G112">
        <v>162</v>
      </c>
      <c r="H112">
        <v>1296</v>
      </c>
      <c r="I112">
        <v>640</v>
      </c>
      <c r="J112">
        <v>656</v>
      </c>
    </row>
    <row r="113" spans="1:10" x14ac:dyDescent="0.3">
      <c r="A113" s="2" t="s">
        <v>153</v>
      </c>
      <c r="B113" s="3">
        <v>45827</v>
      </c>
      <c r="C113" s="2" t="s">
        <v>25</v>
      </c>
      <c r="D113" s="2" t="s">
        <v>18</v>
      </c>
      <c r="E113" s="2" t="s">
        <v>19</v>
      </c>
      <c r="F113">
        <v>1</v>
      </c>
      <c r="G113">
        <v>237.5</v>
      </c>
      <c r="H113">
        <v>237.5</v>
      </c>
      <c r="I113">
        <v>130</v>
      </c>
      <c r="J113">
        <v>107.5</v>
      </c>
    </row>
    <row r="114" spans="1:10" x14ac:dyDescent="0.3">
      <c r="A114" s="2" t="s">
        <v>154</v>
      </c>
      <c r="B114" s="3">
        <v>45741</v>
      </c>
      <c r="C114" s="2" t="s">
        <v>25</v>
      </c>
      <c r="D114" s="2" t="s">
        <v>22</v>
      </c>
      <c r="E114" s="2" t="s">
        <v>40</v>
      </c>
      <c r="F114">
        <v>1</v>
      </c>
      <c r="G114">
        <v>900</v>
      </c>
      <c r="H114">
        <v>900</v>
      </c>
      <c r="I114">
        <v>520</v>
      </c>
      <c r="J114">
        <v>380</v>
      </c>
    </row>
    <row r="115" spans="1:10" x14ac:dyDescent="0.3">
      <c r="A115" s="2" t="s">
        <v>155</v>
      </c>
      <c r="B115" s="3">
        <v>45831</v>
      </c>
      <c r="C115" s="2" t="s">
        <v>37</v>
      </c>
      <c r="D115" s="2" t="s">
        <v>15</v>
      </c>
      <c r="E115" s="2" t="s">
        <v>49</v>
      </c>
      <c r="F115">
        <v>2</v>
      </c>
      <c r="G115">
        <v>495</v>
      </c>
      <c r="H115">
        <v>990</v>
      </c>
      <c r="I115">
        <v>600</v>
      </c>
      <c r="J115">
        <v>390</v>
      </c>
    </row>
    <row r="116" spans="1:10" x14ac:dyDescent="0.3">
      <c r="A116" s="2" t="s">
        <v>156</v>
      </c>
      <c r="B116" s="3">
        <v>45864</v>
      </c>
      <c r="C116" s="2" t="s">
        <v>21</v>
      </c>
      <c r="D116" s="2" t="s">
        <v>32</v>
      </c>
      <c r="E116" s="2" t="s">
        <v>62</v>
      </c>
      <c r="F116">
        <v>11</v>
      </c>
      <c r="G116">
        <v>4200</v>
      </c>
      <c r="H116">
        <v>46200</v>
      </c>
      <c r="I116">
        <v>31900</v>
      </c>
      <c r="J116">
        <v>14300</v>
      </c>
    </row>
    <row r="117" spans="1:10" x14ac:dyDescent="0.3">
      <c r="A117" s="2" t="s">
        <v>157</v>
      </c>
      <c r="B117" s="3">
        <v>45702</v>
      </c>
      <c r="C117" s="2" t="s">
        <v>37</v>
      </c>
      <c r="D117" s="2" t="s">
        <v>18</v>
      </c>
      <c r="E117" s="2" t="s">
        <v>65</v>
      </c>
      <c r="F117">
        <v>11</v>
      </c>
      <c r="G117">
        <v>320</v>
      </c>
      <c r="H117">
        <v>3520</v>
      </c>
      <c r="I117">
        <v>2310</v>
      </c>
      <c r="J117">
        <v>1210</v>
      </c>
    </row>
    <row r="118" spans="1:10" x14ac:dyDescent="0.3">
      <c r="A118" s="2" t="s">
        <v>158</v>
      </c>
      <c r="B118" s="3">
        <v>45725</v>
      </c>
      <c r="C118" s="2" t="s">
        <v>37</v>
      </c>
      <c r="D118" s="2" t="s">
        <v>18</v>
      </c>
      <c r="E118" s="2" t="s">
        <v>82</v>
      </c>
      <c r="F118">
        <v>11</v>
      </c>
      <c r="G118">
        <v>220</v>
      </c>
      <c r="H118">
        <v>2420</v>
      </c>
      <c r="I118">
        <v>1320</v>
      </c>
      <c r="J118">
        <v>1100</v>
      </c>
    </row>
    <row r="119" spans="1:10" x14ac:dyDescent="0.3">
      <c r="A119" s="2" t="s">
        <v>159</v>
      </c>
      <c r="B119" s="3">
        <v>45917</v>
      </c>
      <c r="C119" s="2" t="s">
        <v>42</v>
      </c>
      <c r="D119" s="2" t="s">
        <v>15</v>
      </c>
      <c r="E119" s="2" t="s">
        <v>43</v>
      </c>
      <c r="F119">
        <v>6</v>
      </c>
      <c r="G119">
        <v>665</v>
      </c>
      <c r="H119">
        <v>3990</v>
      </c>
      <c r="I119">
        <v>2460</v>
      </c>
      <c r="J119">
        <v>1530</v>
      </c>
    </row>
    <row r="120" spans="1:10" x14ac:dyDescent="0.3">
      <c r="A120" s="2" t="s">
        <v>160</v>
      </c>
      <c r="B120" s="3">
        <v>45850</v>
      </c>
      <c r="C120" s="2" t="s">
        <v>42</v>
      </c>
      <c r="D120" s="2" t="s">
        <v>22</v>
      </c>
      <c r="E120" s="2" t="s">
        <v>97</v>
      </c>
      <c r="F120">
        <v>3</v>
      </c>
      <c r="G120">
        <v>1710</v>
      </c>
      <c r="H120">
        <v>5130</v>
      </c>
      <c r="I120">
        <v>3450</v>
      </c>
      <c r="J120">
        <v>1680</v>
      </c>
    </row>
    <row r="121" spans="1:10" x14ac:dyDescent="0.3">
      <c r="A121" s="2" t="s">
        <v>161</v>
      </c>
      <c r="B121" s="3">
        <v>45928</v>
      </c>
      <c r="C121" s="2" t="s">
        <v>21</v>
      </c>
      <c r="D121" s="2" t="s">
        <v>22</v>
      </c>
      <c r="E121" s="2" t="s">
        <v>28</v>
      </c>
      <c r="F121">
        <v>12</v>
      </c>
      <c r="G121">
        <v>650</v>
      </c>
      <c r="H121">
        <v>7800</v>
      </c>
      <c r="I121">
        <v>4560</v>
      </c>
      <c r="J121">
        <v>3240</v>
      </c>
    </row>
    <row r="122" spans="1:10" x14ac:dyDescent="0.3">
      <c r="A122" s="2" t="s">
        <v>162</v>
      </c>
      <c r="B122" s="3">
        <v>46005</v>
      </c>
      <c r="C122" s="2" t="s">
        <v>21</v>
      </c>
      <c r="D122" s="2" t="s">
        <v>32</v>
      </c>
      <c r="E122" s="2" t="s">
        <v>33</v>
      </c>
      <c r="F122">
        <v>10</v>
      </c>
      <c r="G122">
        <v>5580</v>
      </c>
      <c r="H122">
        <v>55800</v>
      </c>
      <c r="I122">
        <v>45000</v>
      </c>
      <c r="J122">
        <v>10800</v>
      </c>
    </row>
    <row r="123" spans="1:10" x14ac:dyDescent="0.3">
      <c r="A123" s="2" t="s">
        <v>163</v>
      </c>
      <c r="B123" s="3">
        <v>46016</v>
      </c>
      <c r="C123" s="2" t="s">
        <v>21</v>
      </c>
      <c r="D123" s="2" t="s">
        <v>15</v>
      </c>
      <c r="E123" s="2" t="s">
        <v>49</v>
      </c>
      <c r="F123">
        <v>5</v>
      </c>
      <c r="G123">
        <v>550</v>
      </c>
      <c r="H123">
        <v>2750</v>
      </c>
      <c r="I123">
        <v>1500</v>
      </c>
      <c r="J123">
        <v>1250</v>
      </c>
    </row>
    <row r="124" spans="1:10" x14ac:dyDescent="0.3">
      <c r="A124" s="2" t="s">
        <v>164</v>
      </c>
      <c r="B124" s="3">
        <v>45738</v>
      </c>
      <c r="C124" s="2" t="s">
        <v>21</v>
      </c>
      <c r="D124" s="2" t="s">
        <v>18</v>
      </c>
      <c r="E124" s="2" t="s">
        <v>52</v>
      </c>
      <c r="F124">
        <v>8</v>
      </c>
      <c r="G124">
        <v>150</v>
      </c>
      <c r="H124">
        <v>1200</v>
      </c>
      <c r="I124">
        <v>520</v>
      </c>
      <c r="J124">
        <v>680</v>
      </c>
    </row>
    <row r="125" spans="1:10" x14ac:dyDescent="0.3">
      <c r="A125" s="2" t="s">
        <v>165</v>
      </c>
      <c r="B125" s="3">
        <v>45959</v>
      </c>
      <c r="C125" s="2" t="s">
        <v>21</v>
      </c>
      <c r="D125" s="2" t="s">
        <v>15</v>
      </c>
      <c r="E125" s="2" t="s">
        <v>43</v>
      </c>
      <c r="F125">
        <v>12</v>
      </c>
      <c r="G125">
        <v>630</v>
      </c>
      <c r="H125">
        <v>7560</v>
      </c>
      <c r="I125">
        <v>4920</v>
      </c>
      <c r="J125">
        <v>2640</v>
      </c>
    </row>
    <row r="126" spans="1:10" x14ac:dyDescent="0.3">
      <c r="A126" s="2" t="s">
        <v>166</v>
      </c>
      <c r="B126" s="3">
        <v>45735</v>
      </c>
      <c r="C126" s="2" t="s">
        <v>21</v>
      </c>
      <c r="D126" s="2" t="s">
        <v>32</v>
      </c>
      <c r="E126" s="2" t="s">
        <v>35</v>
      </c>
      <c r="F126">
        <v>11</v>
      </c>
      <c r="G126">
        <v>990</v>
      </c>
      <c r="H126">
        <v>10890</v>
      </c>
      <c r="I126">
        <v>6820</v>
      </c>
      <c r="J126">
        <v>4070</v>
      </c>
    </row>
    <row r="127" spans="1:10" x14ac:dyDescent="0.3">
      <c r="A127" s="2" t="s">
        <v>167</v>
      </c>
      <c r="B127" s="3">
        <v>45822</v>
      </c>
      <c r="C127" s="2" t="s">
        <v>25</v>
      </c>
      <c r="D127" s="2" t="s">
        <v>15</v>
      </c>
      <c r="E127" s="2" t="s">
        <v>72</v>
      </c>
      <c r="F127">
        <v>7</v>
      </c>
      <c r="G127">
        <v>1170</v>
      </c>
      <c r="H127">
        <v>8190</v>
      </c>
      <c r="I127">
        <v>5740</v>
      </c>
      <c r="J127">
        <v>2450</v>
      </c>
    </row>
    <row r="128" spans="1:10" x14ac:dyDescent="0.3">
      <c r="A128" s="2" t="s">
        <v>168</v>
      </c>
      <c r="B128" s="3">
        <v>45869</v>
      </c>
      <c r="C128" s="2" t="s">
        <v>25</v>
      </c>
      <c r="D128" s="2" t="s">
        <v>32</v>
      </c>
      <c r="E128" s="2" t="s">
        <v>62</v>
      </c>
      <c r="F128">
        <v>3</v>
      </c>
      <c r="G128">
        <v>4200</v>
      </c>
      <c r="H128">
        <v>12600</v>
      </c>
      <c r="I128">
        <v>8700</v>
      </c>
      <c r="J128">
        <v>3900</v>
      </c>
    </row>
    <row r="129" spans="1:10" x14ac:dyDescent="0.3">
      <c r="A129" s="2" t="s">
        <v>169</v>
      </c>
      <c r="B129" s="3">
        <v>45971</v>
      </c>
      <c r="C129" s="2" t="s">
        <v>37</v>
      </c>
      <c r="D129" s="2" t="s">
        <v>22</v>
      </c>
      <c r="E129" s="2" t="s">
        <v>23</v>
      </c>
      <c r="F129">
        <v>5</v>
      </c>
      <c r="G129">
        <v>9025</v>
      </c>
      <c r="H129">
        <v>45125</v>
      </c>
      <c r="I129">
        <v>38000</v>
      </c>
      <c r="J129">
        <v>7125</v>
      </c>
    </row>
    <row r="130" spans="1:10" x14ac:dyDescent="0.3">
      <c r="A130" s="2" t="s">
        <v>170</v>
      </c>
      <c r="B130" s="3">
        <v>45932</v>
      </c>
      <c r="C130" s="2" t="s">
        <v>42</v>
      </c>
      <c r="D130" s="2" t="s">
        <v>32</v>
      </c>
      <c r="E130" s="2" t="s">
        <v>62</v>
      </c>
      <c r="F130">
        <v>11</v>
      </c>
      <c r="G130">
        <v>3990</v>
      </c>
      <c r="H130">
        <v>43890</v>
      </c>
      <c r="I130">
        <v>31900</v>
      </c>
      <c r="J130">
        <v>11990</v>
      </c>
    </row>
    <row r="131" spans="1:10" x14ac:dyDescent="0.3">
      <c r="A131" s="2" t="s">
        <v>171</v>
      </c>
      <c r="B131" s="3">
        <v>45695</v>
      </c>
      <c r="C131" s="2" t="s">
        <v>37</v>
      </c>
      <c r="D131" s="2" t="s">
        <v>15</v>
      </c>
      <c r="E131" s="2" t="s">
        <v>43</v>
      </c>
      <c r="F131">
        <v>1</v>
      </c>
      <c r="G131">
        <v>630</v>
      </c>
      <c r="H131">
        <v>630</v>
      </c>
      <c r="I131">
        <v>410</v>
      </c>
      <c r="J131">
        <v>220</v>
      </c>
    </row>
    <row r="132" spans="1:10" x14ac:dyDescent="0.3">
      <c r="A132" s="2" t="s">
        <v>172</v>
      </c>
      <c r="B132" s="3">
        <v>45960</v>
      </c>
      <c r="C132" s="2" t="s">
        <v>37</v>
      </c>
      <c r="D132" s="2" t="s">
        <v>15</v>
      </c>
      <c r="E132" s="2" t="s">
        <v>16</v>
      </c>
      <c r="F132">
        <v>7</v>
      </c>
      <c r="G132">
        <v>450</v>
      </c>
      <c r="H132">
        <v>3150</v>
      </c>
      <c r="I132">
        <v>1680</v>
      </c>
      <c r="J132">
        <v>1470</v>
      </c>
    </row>
    <row r="133" spans="1:10" x14ac:dyDescent="0.3">
      <c r="A133" s="2" t="s">
        <v>173</v>
      </c>
      <c r="B133" s="3">
        <v>45831</v>
      </c>
      <c r="C133" s="2" t="s">
        <v>42</v>
      </c>
      <c r="D133" s="2" t="s">
        <v>32</v>
      </c>
      <c r="E133" s="2" t="s">
        <v>47</v>
      </c>
      <c r="F133">
        <v>6</v>
      </c>
      <c r="G133">
        <v>8500</v>
      </c>
      <c r="H133">
        <v>51000</v>
      </c>
      <c r="I133">
        <v>39000</v>
      </c>
      <c r="J133">
        <v>12000</v>
      </c>
    </row>
    <row r="134" spans="1:10" x14ac:dyDescent="0.3">
      <c r="A134" s="2" t="s">
        <v>174</v>
      </c>
      <c r="B134" s="3">
        <v>45883</v>
      </c>
      <c r="C134" s="2" t="s">
        <v>42</v>
      </c>
      <c r="D134" s="2" t="s">
        <v>32</v>
      </c>
      <c r="E134" s="2" t="s">
        <v>47</v>
      </c>
      <c r="F134">
        <v>5</v>
      </c>
      <c r="G134">
        <v>8500</v>
      </c>
      <c r="H134">
        <v>42500</v>
      </c>
      <c r="I134">
        <v>32500</v>
      </c>
      <c r="J134">
        <v>10000</v>
      </c>
    </row>
    <row r="135" spans="1:10" x14ac:dyDescent="0.3">
      <c r="A135" s="2" t="s">
        <v>175</v>
      </c>
      <c r="B135" s="3">
        <v>45823</v>
      </c>
      <c r="C135" s="2" t="s">
        <v>21</v>
      </c>
      <c r="D135" s="2" t="s">
        <v>18</v>
      </c>
      <c r="E135" s="2" t="s">
        <v>82</v>
      </c>
      <c r="F135">
        <v>5</v>
      </c>
      <c r="G135">
        <v>198</v>
      </c>
      <c r="H135">
        <v>990</v>
      </c>
      <c r="I135">
        <v>600</v>
      </c>
      <c r="J135">
        <v>390</v>
      </c>
    </row>
    <row r="136" spans="1:10" x14ac:dyDescent="0.3">
      <c r="A136" s="2" t="s">
        <v>176</v>
      </c>
      <c r="B136" s="3">
        <v>46014</v>
      </c>
      <c r="C136" s="2" t="s">
        <v>25</v>
      </c>
      <c r="D136" s="2" t="s">
        <v>22</v>
      </c>
      <c r="E136" s="2" t="s">
        <v>23</v>
      </c>
      <c r="F136">
        <v>3</v>
      </c>
      <c r="G136">
        <v>9500</v>
      </c>
      <c r="H136">
        <v>28500</v>
      </c>
      <c r="I136">
        <v>22800</v>
      </c>
      <c r="J136">
        <v>5700</v>
      </c>
    </row>
    <row r="137" spans="1:10" x14ac:dyDescent="0.3">
      <c r="A137" s="2" t="s">
        <v>177</v>
      </c>
      <c r="B137" s="3">
        <v>46018</v>
      </c>
      <c r="C137" s="2" t="s">
        <v>25</v>
      </c>
      <c r="D137" s="2" t="s">
        <v>18</v>
      </c>
      <c r="E137" s="2" t="s">
        <v>65</v>
      </c>
      <c r="F137">
        <v>7</v>
      </c>
      <c r="G137">
        <v>320</v>
      </c>
      <c r="H137">
        <v>2240</v>
      </c>
      <c r="I137">
        <v>1470</v>
      </c>
      <c r="J137">
        <v>770</v>
      </c>
    </row>
    <row r="138" spans="1:10" x14ac:dyDescent="0.3">
      <c r="A138" s="2" t="s">
        <v>178</v>
      </c>
      <c r="B138" s="3">
        <v>45851</v>
      </c>
      <c r="C138" s="2" t="s">
        <v>42</v>
      </c>
      <c r="D138" s="2" t="s">
        <v>18</v>
      </c>
      <c r="E138" s="2" t="s">
        <v>82</v>
      </c>
      <c r="F138">
        <v>5</v>
      </c>
      <c r="G138">
        <v>209</v>
      </c>
      <c r="H138">
        <v>1045</v>
      </c>
      <c r="I138">
        <v>600</v>
      </c>
      <c r="J138">
        <v>445</v>
      </c>
    </row>
    <row r="139" spans="1:10" x14ac:dyDescent="0.3">
      <c r="A139" s="2" t="s">
        <v>179</v>
      </c>
      <c r="B139" s="3">
        <v>45835</v>
      </c>
      <c r="C139" s="2" t="s">
        <v>37</v>
      </c>
      <c r="D139" s="2" t="s">
        <v>32</v>
      </c>
      <c r="E139" s="2" t="s">
        <v>47</v>
      </c>
      <c r="F139">
        <v>8</v>
      </c>
      <c r="G139">
        <v>8500</v>
      </c>
      <c r="H139">
        <v>68000</v>
      </c>
      <c r="I139">
        <v>52000</v>
      </c>
      <c r="J139">
        <v>16000</v>
      </c>
    </row>
    <row r="140" spans="1:10" x14ac:dyDescent="0.3">
      <c r="A140" s="2" t="s">
        <v>180</v>
      </c>
      <c r="B140" s="3">
        <v>45775</v>
      </c>
      <c r="C140" s="2" t="s">
        <v>21</v>
      </c>
      <c r="D140" s="2" t="s">
        <v>32</v>
      </c>
      <c r="E140" s="2" t="s">
        <v>62</v>
      </c>
      <c r="F140">
        <v>10</v>
      </c>
      <c r="G140">
        <v>4200</v>
      </c>
      <c r="H140">
        <v>42000</v>
      </c>
      <c r="I140">
        <v>29000</v>
      </c>
      <c r="J140">
        <v>13000</v>
      </c>
    </row>
    <row r="141" spans="1:10" x14ac:dyDescent="0.3">
      <c r="A141" s="2" t="s">
        <v>181</v>
      </c>
      <c r="B141" s="3">
        <v>45686</v>
      </c>
      <c r="C141" s="2" t="s">
        <v>25</v>
      </c>
      <c r="D141" s="2" t="s">
        <v>32</v>
      </c>
      <c r="E141" s="2" t="s">
        <v>55</v>
      </c>
      <c r="F141">
        <v>5</v>
      </c>
      <c r="G141">
        <v>5800</v>
      </c>
      <c r="H141">
        <v>29000</v>
      </c>
      <c r="I141">
        <v>21000</v>
      </c>
      <c r="J141">
        <v>8000</v>
      </c>
    </row>
    <row r="142" spans="1:10" x14ac:dyDescent="0.3">
      <c r="A142" s="2" t="s">
        <v>182</v>
      </c>
      <c r="B142" s="3">
        <v>46008</v>
      </c>
      <c r="C142" s="2" t="s">
        <v>21</v>
      </c>
      <c r="D142" s="2" t="s">
        <v>15</v>
      </c>
      <c r="E142" s="2" t="s">
        <v>49</v>
      </c>
      <c r="F142">
        <v>1</v>
      </c>
      <c r="G142">
        <v>522.5</v>
      </c>
      <c r="H142">
        <v>522.5</v>
      </c>
      <c r="I142">
        <v>300</v>
      </c>
      <c r="J142">
        <v>222.5</v>
      </c>
    </row>
    <row r="143" spans="1:10" x14ac:dyDescent="0.3">
      <c r="A143" s="2" t="s">
        <v>183</v>
      </c>
      <c r="B143" s="3">
        <v>45732</v>
      </c>
      <c r="C143" s="2" t="s">
        <v>37</v>
      </c>
      <c r="D143" s="2" t="s">
        <v>15</v>
      </c>
      <c r="E143" s="2" t="s">
        <v>16</v>
      </c>
      <c r="F143">
        <v>5</v>
      </c>
      <c r="G143">
        <v>450</v>
      </c>
      <c r="H143">
        <v>2250</v>
      </c>
      <c r="I143">
        <v>1200</v>
      </c>
      <c r="J143">
        <v>1050</v>
      </c>
    </row>
    <row r="144" spans="1:10" x14ac:dyDescent="0.3">
      <c r="A144" s="2" t="s">
        <v>184</v>
      </c>
      <c r="B144" s="3">
        <v>45706</v>
      </c>
      <c r="C144" s="2" t="s">
        <v>25</v>
      </c>
      <c r="D144" s="2" t="s">
        <v>18</v>
      </c>
      <c r="E144" s="2" t="s">
        <v>26</v>
      </c>
      <c r="F144">
        <v>4</v>
      </c>
      <c r="G144">
        <v>162</v>
      </c>
      <c r="H144">
        <v>648</v>
      </c>
      <c r="I144">
        <v>320</v>
      </c>
      <c r="J144">
        <v>328</v>
      </c>
    </row>
    <row r="145" spans="1:10" x14ac:dyDescent="0.3">
      <c r="A145" s="2" t="s">
        <v>185</v>
      </c>
      <c r="B145" s="3">
        <v>45894</v>
      </c>
      <c r="C145" s="2" t="s">
        <v>37</v>
      </c>
      <c r="D145" s="2" t="s">
        <v>32</v>
      </c>
      <c r="E145" s="2" t="s">
        <v>47</v>
      </c>
      <c r="F145">
        <v>6</v>
      </c>
      <c r="G145">
        <v>8500</v>
      </c>
      <c r="H145">
        <v>51000</v>
      </c>
      <c r="I145">
        <v>39000</v>
      </c>
      <c r="J145">
        <v>12000</v>
      </c>
    </row>
    <row r="146" spans="1:10" x14ac:dyDescent="0.3">
      <c r="A146" s="2" t="s">
        <v>186</v>
      </c>
      <c r="B146" s="3">
        <v>45826</v>
      </c>
      <c r="C146" s="2" t="s">
        <v>25</v>
      </c>
      <c r="D146" s="2" t="s">
        <v>32</v>
      </c>
      <c r="E146" s="2" t="s">
        <v>35</v>
      </c>
      <c r="F146">
        <v>11</v>
      </c>
      <c r="G146">
        <v>1100</v>
      </c>
      <c r="H146">
        <v>12100</v>
      </c>
      <c r="I146">
        <v>6820</v>
      </c>
      <c r="J146">
        <v>5280</v>
      </c>
    </row>
    <row r="147" spans="1:10" x14ac:dyDescent="0.3">
      <c r="A147" s="2" t="s">
        <v>187</v>
      </c>
      <c r="B147" s="3">
        <v>45953</v>
      </c>
      <c r="C147" s="2" t="s">
        <v>14</v>
      </c>
      <c r="D147" s="2" t="s">
        <v>15</v>
      </c>
      <c r="E147" s="2" t="s">
        <v>49</v>
      </c>
      <c r="F147">
        <v>3</v>
      </c>
      <c r="G147">
        <v>495</v>
      </c>
      <c r="H147">
        <v>1485</v>
      </c>
      <c r="I147">
        <v>900</v>
      </c>
      <c r="J147">
        <v>585</v>
      </c>
    </row>
    <row r="148" spans="1:10" x14ac:dyDescent="0.3">
      <c r="A148" s="2" t="s">
        <v>188</v>
      </c>
      <c r="B148" s="3">
        <v>46013</v>
      </c>
      <c r="C148" s="2" t="s">
        <v>14</v>
      </c>
      <c r="D148" s="2" t="s">
        <v>18</v>
      </c>
      <c r="E148" s="2" t="s">
        <v>52</v>
      </c>
      <c r="F148">
        <v>11</v>
      </c>
      <c r="G148">
        <v>150</v>
      </c>
      <c r="H148">
        <v>1650</v>
      </c>
      <c r="I148">
        <v>715</v>
      </c>
      <c r="J148">
        <v>935</v>
      </c>
    </row>
    <row r="149" spans="1:10" x14ac:dyDescent="0.3">
      <c r="A149" s="2" t="s">
        <v>189</v>
      </c>
      <c r="B149" s="3">
        <v>45796</v>
      </c>
      <c r="C149" s="2" t="s">
        <v>37</v>
      </c>
      <c r="D149" s="2" t="s">
        <v>18</v>
      </c>
      <c r="E149" s="2" t="s">
        <v>26</v>
      </c>
      <c r="F149">
        <v>12</v>
      </c>
      <c r="G149">
        <v>180</v>
      </c>
      <c r="H149">
        <v>2160</v>
      </c>
      <c r="I149">
        <v>960</v>
      </c>
      <c r="J149">
        <v>1200</v>
      </c>
    </row>
    <row r="150" spans="1:10" x14ac:dyDescent="0.3">
      <c r="A150" s="2" t="s">
        <v>190</v>
      </c>
      <c r="B150" s="3">
        <v>45696</v>
      </c>
      <c r="C150" s="2" t="s">
        <v>37</v>
      </c>
      <c r="D150" s="2" t="s">
        <v>15</v>
      </c>
      <c r="E150" s="2" t="s">
        <v>38</v>
      </c>
      <c r="F150">
        <v>2</v>
      </c>
      <c r="G150">
        <v>540</v>
      </c>
      <c r="H150">
        <v>1080</v>
      </c>
      <c r="I150">
        <v>660</v>
      </c>
      <c r="J150">
        <v>420</v>
      </c>
    </row>
    <row r="151" spans="1:10" x14ac:dyDescent="0.3">
      <c r="A151" s="2" t="s">
        <v>191</v>
      </c>
      <c r="B151" s="3">
        <v>45734</v>
      </c>
      <c r="C151" s="2" t="s">
        <v>37</v>
      </c>
      <c r="D151" s="2" t="s">
        <v>32</v>
      </c>
      <c r="E151" s="2" t="s">
        <v>47</v>
      </c>
      <c r="F151">
        <v>1</v>
      </c>
      <c r="G151">
        <v>8500</v>
      </c>
      <c r="H151">
        <v>8500</v>
      </c>
      <c r="I151">
        <v>6500</v>
      </c>
      <c r="J151">
        <v>2000</v>
      </c>
    </row>
    <row r="152" spans="1:10" x14ac:dyDescent="0.3">
      <c r="A152" s="2" t="s">
        <v>192</v>
      </c>
      <c r="B152" s="3">
        <v>46022</v>
      </c>
      <c r="C152" s="2" t="s">
        <v>21</v>
      </c>
      <c r="D152" s="2" t="s">
        <v>15</v>
      </c>
      <c r="E152" s="2" t="s">
        <v>16</v>
      </c>
      <c r="F152">
        <v>6</v>
      </c>
      <c r="G152">
        <v>405</v>
      </c>
      <c r="H152">
        <v>2430</v>
      </c>
      <c r="I152">
        <v>1440</v>
      </c>
      <c r="J152">
        <v>990</v>
      </c>
    </row>
    <row r="153" spans="1:10" x14ac:dyDescent="0.3">
      <c r="A153" s="2" t="s">
        <v>193</v>
      </c>
      <c r="B153" s="3">
        <v>45893</v>
      </c>
      <c r="C153" s="2" t="s">
        <v>37</v>
      </c>
      <c r="D153" s="2" t="s">
        <v>32</v>
      </c>
      <c r="E153" s="2" t="s">
        <v>55</v>
      </c>
      <c r="F153">
        <v>2</v>
      </c>
      <c r="G153">
        <v>5220</v>
      </c>
      <c r="H153">
        <v>10440</v>
      </c>
      <c r="I153">
        <v>8400</v>
      </c>
      <c r="J153">
        <v>2040</v>
      </c>
    </row>
    <row r="154" spans="1:10" x14ac:dyDescent="0.3">
      <c r="A154" s="2" t="s">
        <v>194</v>
      </c>
      <c r="B154" s="3">
        <v>45826</v>
      </c>
      <c r="C154" s="2" t="s">
        <v>25</v>
      </c>
      <c r="D154" s="2" t="s">
        <v>15</v>
      </c>
      <c r="E154" s="2" t="s">
        <v>16</v>
      </c>
      <c r="F154">
        <v>2</v>
      </c>
      <c r="G154">
        <v>450</v>
      </c>
      <c r="H154">
        <v>900</v>
      </c>
      <c r="I154">
        <v>480</v>
      </c>
      <c r="J154">
        <v>420</v>
      </c>
    </row>
    <row r="155" spans="1:10" x14ac:dyDescent="0.3">
      <c r="A155" s="2" t="s">
        <v>195</v>
      </c>
      <c r="B155" s="3">
        <v>46001</v>
      </c>
      <c r="C155" s="2" t="s">
        <v>37</v>
      </c>
      <c r="D155" s="2" t="s">
        <v>15</v>
      </c>
      <c r="E155" s="2" t="s">
        <v>72</v>
      </c>
      <c r="F155">
        <v>10</v>
      </c>
      <c r="G155">
        <v>1300</v>
      </c>
      <c r="H155">
        <v>13000</v>
      </c>
      <c r="I155">
        <v>8200</v>
      </c>
      <c r="J155">
        <v>4800</v>
      </c>
    </row>
    <row r="156" spans="1:10" x14ac:dyDescent="0.3">
      <c r="A156" s="2" t="s">
        <v>196</v>
      </c>
      <c r="B156" s="3">
        <v>45679</v>
      </c>
      <c r="C156" s="2" t="s">
        <v>25</v>
      </c>
      <c r="D156" s="2" t="s">
        <v>22</v>
      </c>
      <c r="E156" s="2" t="s">
        <v>28</v>
      </c>
      <c r="F156">
        <v>3</v>
      </c>
      <c r="G156">
        <v>650</v>
      </c>
      <c r="H156">
        <v>1950</v>
      </c>
      <c r="I156">
        <v>1140</v>
      </c>
      <c r="J156">
        <v>810</v>
      </c>
    </row>
    <row r="157" spans="1:10" x14ac:dyDescent="0.3">
      <c r="A157" s="2" t="s">
        <v>197</v>
      </c>
      <c r="B157" s="3">
        <v>46003</v>
      </c>
      <c r="C157" s="2" t="s">
        <v>37</v>
      </c>
      <c r="D157" s="2" t="s">
        <v>22</v>
      </c>
      <c r="E157" s="2" t="s">
        <v>28</v>
      </c>
      <c r="F157">
        <v>6</v>
      </c>
      <c r="G157">
        <v>585</v>
      </c>
      <c r="H157">
        <v>3510</v>
      </c>
      <c r="I157">
        <v>2280</v>
      </c>
      <c r="J157">
        <v>1230</v>
      </c>
    </row>
    <row r="158" spans="1:10" x14ac:dyDescent="0.3">
      <c r="A158" s="2" t="s">
        <v>198</v>
      </c>
      <c r="B158" s="3">
        <v>46020</v>
      </c>
      <c r="C158" s="2" t="s">
        <v>14</v>
      </c>
      <c r="D158" s="2" t="s">
        <v>18</v>
      </c>
      <c r="E158" s="2" t="s">
        <v>19</v>
      </c>
      <c r="F158">
        <v>4</v>
      </c>
      <c r="G158">
        <v>250</v>
      </c>
      <c r="H158">
        <v>1000</v>
      </c>
      <c r="I158">
        <v>520</v>
      </c>
      <c r="J158">
        <v>480</v>
      </c>
    </row>
    <row r="159" spans="1:10" x14ac:dyDescent="0.3">
      <c r="A159" s="2" t="s">
        <v>199</v>
      </c>
      <c r="B159" s="3">
        <v>45833</v>
      </c>
      <c r="C159" s="2" t="s">
        <v>42</v>
      </c>
      <c r="D159" s="2" t="s">
        <v>22</v>
      </c>
      <c r="E159" s="2" t="s">
        <v>23</v>
      </c>
      <c r="F159">
        <v>10</v>
      </c>
      <c r="G159">
        <v>9500</v>
      </c>
      <c r="H159">
        <v>95000</v>
      </c>
      <c r="I159">
        <v>76000</v>
      </c>
      <c r="J159">
        <v>19000</v>
      </c>
    </row>
    <row r="160" spans="1:10" x14ac:dyDescent="0.3">
      <c r="A160" s="2" t="s">
        <v>200</v>
      </c>
      <c r="B160" s="3">
        <v>45763</v>
      </c>
      <c r="C160" s="2" t="s">
        <v>37</v>
      </c>
      <c r="D160" s="2" t="s">
        <v>32</v>
      </c>
      <c r="E160" s="2" t="s">
        <v>35</v>
      </c>
      <c r="F160">
        <v>12</v>
      </c>
      <c r="G160">
        <v>1100</v>
      </c>
      <c r="H160">
        <v>13200</v>
      </c>
      <c r="I160">
        <v>7440</v>
      </c>
      <c r="J160">
        <v>5760</v>
      </c>
    </row>
    <row r="161" spans="1:10" x14ac:dyDescent="0.3">
      <c r="A161" s="2" t="s">
        <v>201</v>
      </c>
      <c r="B161" s="3">
        <v>45872</v>
      </c>
      <c r="C161" s="2" t="s">
        <v>14</v>
      </c>
      <c r="D161" s="2" t="s">
        <v>18</v>
      </c>
      <c r="E161" s="2" t="s">
        <v>52</v>
      </c>
      <c r="F161">
        <v>5</v>
      </c>
      <c r="G161">
        <v>150</v>
      </c>
      <c r="H161">
        <v>750</v>
      </c>
      <c r="I161">
        <v>325</v>
      </c>
      <c r="J161">
        <v>425</v>
      </c>
    </row>
    <row r="162" spans="1:10" x14ac:dyDescent="0.3">
      <c r="A162" s="2" t="s">
        <v>202</v>
      </c>
      <c r="B162" s="3">
        <v>45935</v>
      </c>
      <c r="C162" s="2" t="s">
        <v>37</v>
      </c>
      <c r="D162" s="2" t="s">
        <v>15</v>
      </c>
      <c r="E162" s="2" t="s">
        <v>16</v>
      </c>
      <c r="F162">
        <v>2</v>
      </c>
      <c r="G162">
        <v>405</v>
      </c>
      <c r="H162">
        <v>810</v>
      </c>
      <c r="I162">
        <v>480</v>
      </c>
      <c r="J162">
        <v>330</v>
      </c>
    </row>
    <row r="163" spans="1:10" x14ac:dyDescent="0.3">
      <c r="A163" s="2" t="s">
        <v>203</v>
      </c>
      <c r="B163" s="3">
        <v>45717</v>
      </c>
      <c r="C163" s="2" t="s">
        <v>25</v>
      </c>
      <c r="D163" s="2" t="s">
        <v>32</v>
      </c>
      <c r="E163" s="2" t="s">
        <v>62</v>
      </c>
      <c r="F163">
        <v>8</v>
      </c>
      <c r="G163">
        <v>3780</v>
      </c>
      <c r="H163">
        <v>30240</v>
      </c>
      <c r="I163">
        <v>23200</v>
      </c>
      <c r="J163">
        <v>7040</v>
      </c>
    </row>
    <row r="164" spans="1:10" x14ac:dyDescent="0.3">
      <c r="A164" s="2" t="s">
        <v>204</v>
      </c>
      <c r="B164" s="3">
        <v>45693</v>
      </c>
      <c r="C164" s="2" t="s">
        <v>14</v>
      </c>
      <c r="D164" s="2" t="s">
        <v>32</v>
      </c>
      <c r="E164" s="2" t="s">
        <v>55</v>
      </c>
      <c r="F164">
        <v>5</v>
      </c>
      <c r="G164">
        <v>5220</v>
      </c>
      <c r="H164">
        <v>26100</v>
      </c>
      <c r="I164">
        <v>21000</v>
      </c>
      <c r="J164">
        <v>5100</v>
      </c>
    </row>
    <row r="165" spans="1:10" x14ac:dyDescent="0.3">
      <c r="A165" s="2" t="s">
        <v>205</v>
      </c>
      <c r="B165" s="3">
        <v>45711</v>
      </c>
      <c r="C165" s="2" t="s">
        <v>21</v>
      </c>
      <c r="D165" s="2" t="s">
        <v>32</v>
      </c>
      <c r="E165" s="2" t="s">
        <v>33</v>
      </c>
      <c r="F165">
        <v>6</v>
      </c>
      <c r="G165">
        <v>6200</v>
      </c>
      <c r="H165">
        <v>37200</v>
      </c>
      <c r="I165">
        <v>27000</v>
      </c>
      <c r="J165">
        <v>10200</v>
      </c>
    </row>
    <row r="166" spans="1:10" x14ac:dyDescent="0.3">
      <c r="A166" s="2" t="s">
        <v>206</v>
      </c>
      <c r="B166" s="3">
        <v>45901</v>
      </c>
      <c r="C166" s="2" t="s">
        <v>42</v>
      </c>
      <c r="D166" s="2" t="s">
        <v>18</v>
      </c>
      <c r="E166" s="2" t="s">
        <v>82</v>
      </c>
      <c r="F166">
        <v>3</v>
      </c>
      <c r="G166">
        <v>220</v>
      </c>
      <c r="H166">
        <v>660</v>
      </c>
      <c r="I166">
        <v>360</v>
      </c>
      <c r="J166">
        <v>300</v>
      </c>
    </row>
    <row r="167" spans="1:10" x14ac:dyDescent="0.3">
      <c r="A167" s="2" t="s">
        <v>207</v>
      </c>
      <c r="B167" s="3">
        <v>45896</v>
      </c>
      <c r="C167" s="2" t="s">
        <v>14</v>
      </c>
      <c r="D167" s="2" t="s">
        <v>18</v>
      </c>
      <c r="E167" s="2" t="s">
        <v>19</v>
      </c>
      <c r="F167">
        <v>11</v>
      </c>
      <c r="G167">
        <v>237.5</v>
      </c>
      <c r="H167">
        <v>2612.5</v>
      </c>
      <c r="I167">
        <v>1430</v>
      </c>
      <c r="J167">
        <v>1182.5</v>
      </c>
    </row>
    <row r="168" spans="1:10" x14ac:dyDescent="0.3">
      <c r="A168" s="2" t="s">
        <v>208</v>
      </c>
      <c r="B168" s="3">
        <v>45740</v>
      </c>
      <c r="C168" s="2" t="s">
        <v>21</v>
      </c>
      <c r="D168" s="2" t="s">
        <v>15</v>
      </c>
      <c r="E168" s="2" t="s">
        <v>38</v>
      </c>
      <c r="F168">
        <v>6</v>
      </c>
      <c r="G168">
        <v>600</v>
      </c>
      <c r="H168">
        <v>3600</v>
      </c>
      <c r="I168">
        <v>1980</v>
      </c>
      <c r="J168">
        <v>1620</v>
      </c>
    </row>
    <row r="169" spans="1:10" x14ac:dyDescent="0.3">
      <c r="A169" s="2" t="s">
        <v>209</v>
      </c>
      <c r="B169" s="3">
        <v>45672</v>
      </c>
      <c r="C169" s="2" t="s">
        <v>21</v>
      </c>
      <c r="D169" s="2" t="s">
        <v>18</v>
      </c>
      <c r="E169" s="2" t="s">
        <v>82</v>
      </c>
      <c r="F169">
        <v>4</v>
      </c>
      <c r="G169">
        <v>220</v>
      </c>
      <c r="H169">
        <v>880</v>
      </c>
      <c r="I169">
        <v>480</v>
      </c>
      <c r="J169">
        <v>400</v>
      </c>
    </row>
    <row r="170" spans="1:10" x14ac:dyDescent="0.3">
      <c r="A170" s="2" t="s">
        <v>210</v>
      </c>
      <c r="B170" s="3">
        <v>45863</v>
      </c>
      <c r="C170" s="2" t="s">
        <v>14</v>
      </c>
      <c r="D170" s="2" t="s">
        <v>15</v>
      </c>
      <c r="E170" s="2" t="s">
        <v>43</v>
      </c>
      <c r="F170">
        <v>8</v>
      </c>
      <c r="G170">
        <v>630</v>
      </c>
      <c r="H170">
        <v>5040</v>
      </c>
      <c r="I170">
        <v>3280</v>
      </c>
      <c r="J170">
        <v>1760</v>
      </c>
    </row>
    <row r="171" spans="1:10" x14ac:dyDescent="0.3">
      <c r="A171" s="2" t="s">
        <v>211</v>
      </c>
      <c r="B171" s="3">
        <v>45900</v>
      </c>
      <c r="C171" s="2" t="s">
        <v>21</v>
      </c>
      <c r="D171" s="2" t="s">
        <v>32</v>
      </c>
      <c r="E171" s="2" t="s">
        <v>47</v>
      </c>
      <c r="F171">
        <v>7</v>
      </c>
      <c r="G171">
        <v>8075</v>
      </c>
      <c r="H171">
        <v>56525</v>
      </c>
      <c r="I171">
        <v>45500</v>
      </c>
      <c r="J171">
        <v>11025</v>
      </c>
    </row>
    <row r="172" spans="1:10" x14ac:dyDescent="0.3">
      <c r="A172" s="2" t="s">
        <v>212</v>
      </c>
      <c r="B172" s="3">
        <v>45662</v>
      </c>
      <c r="C172" s="2" t="s">
        <v>25</v>
      </c>
      <c r="D172" s="2" t="s">
        <v>32</v>
      </c>
      <c r="E172" s="2" t="s">
        <v>35</v>
      </c>
      <c r="F172">
        <v>10</v>
      </c>
      <c r="G172">
        <v>1045</v>
      </c>
      <c r="H172">
        <v>10450</v>
      </c>
      <c r="I172">
        <v>6200</v>
      </c>
      <c r="J172">
        <v>4250</v>
      </c>
    </row>
    <row r="173" spans="1:10" x14ac:dyDescent="0.3">
      <c r="A173" s="2" t="s">
        <v>213</v>
      </c>
      <c r="B173" s="3">
        <v>45963</v>
      </c>
      <c r="C173" s="2" t="s">
        <v>21</v>
      </c>
      <c r="D173" s="2" t="s">
        <v>18</v>
      </c>
      <c r="E173" s="2" t="s">
        <v>26</v>
      </c>
      <c r="F173">
        <v>6</v>
      </c>
      <c r="G173">
        <v>180</v>
      </c>
      <c r="H173">
        <v>1080</v>
      </c>
      <c r="I173">
        <v>480</v>
      </c>
      <c r="J173">
        <v>600</v>
      </c>
    </row>
    <row r="174" spans="1:10" x14ac:dyDescent="0.3">
      <c r="A174" s="2" t="s">
        <v>214</v>
      </c>
      <c r="B174" s="3">
        <v>45771</v>
      </c>
      <c r="C174" s="2" t="s">
        <v>37</v>
      </c>
      <c r="D174" s="2" t="s">
        <v>22</v>
      </c>
      <c r="E174" s="2" t="s">
        <v>23</v>
      </c>
      <c r="F174">
        <v>4</v>
      </c>
      <c r="G174">
        <v>9500</v>
      </c>
      <c r="H174">
        <v>38000</v>
      </c>
      <c r="I174">
        <v>30400</v>
      </c>
      <c r="J174">
        <v>7600</v>
      </c>
    </row>
    <row r="175" spans="1:10" x14ac:dyDescent="0.3">
      <c r="A175" s="2" t="s">
        <v>215</v>
      </c>
      <c r="B175" s="3">
        <v>45779</v>
      </c>
      <c r="C175" s="2" t="s">
        <v>37</v>
      </c>
      <c r="D175" s="2" t="s">
        <v>22</v>
      </c>
      <c r="E175" s="2" t="s">
        <v>97</v>
      </c>
      <c r="F175">
        <v>10</v>
      </c>
      <c r="G175">
        <v>1800</v>
      </c>
      <c r="H175">
        <v>18000</v>
      </c>
      <c r="I175">
        <v>11500</v>
      </c>
      <c r="J175">
        <v>6500</v>
      </c>
    </row>
    <row r="176" spans="1:10" x14ac:dyDescent="0.3">
      <c r="A176" s="2" t="s">
        <v>216</v>
      </c>
      <c r="B176" s="3">
        <v>45883</v>
      </c>
      <c r="C176" s="2" t="s">
        <v>14</v>
      </c>
      <c r="D176" s="2" t="s">
        <v>15</v>
      </c>
      <c r="E176" s="2" t="s">
        <v>43</v>
      </c>
      <c r="F176">
        <v>7</v>
      </c>
      <c r="G176">
        <v>700</v>
      </c>
      <c r="H176">
        <v>4900</v>
      </c>
      <c r="I176">
        <v>2870</v>
      </c>
      <c r="J176">
        <v>2030</v>
      </c>
    </row>
    <row r="177" spans="1:10" x14ac:dyDescent="0.3">
      <c r="A177" s="2" t="s">
        <v>217</v>
      </c>
      <c r="B177" s="3">
        <v>45871</v>
      </c>
      <c r="C177" s="2" t="s">
        <v>37</v>
      </c>
      <c r="D177" s="2" t="s">
        <v>15</v>
      </c>
      <c r="E177" s="2" t="s">
        <v>38</v>
      </c>
      <c r="F177">
        <v>4</v>
      </c>
      <c r="G177">
        <v>600</v>
      </c>
      <c r="H177">
        <v>2400</v>
      </c>
      <c r="I177">
        <v>1320</v>
      </c>
      <c r="J177">
        <v>1080</v>
      </c>
    </row>
    <row r="178" spans="1:10" x14ac:dyDescent="0.3">
      <c r="A178" s="2" t="s">
        <v>218</v>
      </c>
      <c r="B178" s="3">
        <v>45948</v>
      </c>
      <c r="C178" s="2" t="s">
        <v>37</v>
      </c>
      <c r="D178" s="2" t="s">
        <v>18</v>
      </c>
      <c r="E178" s="2" t="s">
        <v>65</v>
      </c>
      <c r="F178">
        <v>11</v>
      </c>
      <c r="G178">
        <v>320</v>
      </c>
      <c r="H178">
        <v>3520</v>
      </c>
      <c r="I178">
        <v>2310</v>
      </c>
      <c r="J178">
        <v>1210</v>
      </c>
    </row>
    <row r="179" spans="1:10" x14ac:dyDescent="0.3">
      <c r="A179" s="2" t="s">
        <v>219</v>
      </c>
      <c r="B179" s="3">
        <v>45786</v>
      </c>
      <c r="C179" s="2" t="s">
        <v>37</v>
      </c>
      <c r="D179" s="2" t="s">
        <v>15</v>
      </c>
      <c r="E179" s="2" t="s">
        <v>38</v>
      </c>
      <c r="F179">
        <v>6</v>
      </c>
      <c r="G179">
        <v>600</v>
      </c>
      <c r="H179">
        <v>3600</v>
      </c>
      <c r="I179">
        <v>1980</v>
      </c>
      <c r="J179">
        <v>1620</v>
      </c>
    </row>
    <row r="180" spans="1:10" x14ac:dyDescent="0.3">
      <c r="A180" s="2" t="s">
        <v>220</v>
      </c>
      <c r="B180" s="3">
        <v>45678</v>
      </c>
      <c r="C180" s="2" t="s">
        <v>37</v>
      </c>
      <c r="D180" s="2" t="s">
        <v>32</v>
      </c>
      <c r="E180" s="2" t="s">
        <v>33</v>
      </c>
      <c r="F180">
        <v>5</v>
      </c>
      <c r="G180">
        <v>5890</v>
      </c>
      <c r="H180">
        <v>29450</v>
      </c>
      <c r="I180">
        <v>22500</v>
      </c>
      <c r="J180">
        <v>6950</v>
      </c>
    </row>
    <row r="181" spans="1:10" x14ac:dyDescent="0.3">
      <c r="A181" s="2" t="s">
        <v>221</v>
      </c>
      <c r="B181" s="3">
        <v>45683</v>
      </c>
      <c r="C181" s="2" t="s">
        <v>37</v>
      </c>
      <c r="D181" s="2" t="s">
        <v>32</v>
      </c>
      <c r="E181" s="2" t="s">
        <v>62</v>
      </c>
      <c r="F181">
        <v>3</v>
      </c>
      <c r="G181">
        <v>4200</v>
      </c>
      <c r="H181">
        <v>12600</v>
      </c>
      <c r="I181">
        <v>8700</v>
      </c>
      <c r="J181">
        <v>3900</v>
      </c>
    </row>
    <row r="182" spans="1:10" x14ac:dyDescent="0.3">
      <c r="A182" s="2" t="s">
        <v>222</v>
      </c>
      <c r="B182" s="3">
        <v>45900</v>
      </c>
      <c r="C182" s="2" t="s">
        <v>14</v>
      </c>
      <c r="D182" s="2" t="s">
        <v>22</v>
      </c>
      <c r="E182" s="2" t="s">
        <v>28</v>
      </c>
      <c r="F182">
        <v>5</v>
      </c>
      <c r="G182">
        <v>617.5</v>
      </c>
      <c r="H182">
        <v>3087.5</v>
      </c>
      <c r="I182">
        <v>1900</v>
      </c>
      <c r="J182">
        <v>1187.5</v>
      </c>
    </row>
    <row r="183" spans="1:10" x14ac:dyDescent="0.3">
      <c r="A183" s="2" t="s">
        <v>223</v>
      </c>
      <c r="B183" s="3">
        <v>46005</v>
      </c>
      <c r="C183" s="2" t="s">
        <v>37</v>
      </c>
      <c r="D183" s="2" t="s">
        <v>22</v>
      </c>
      <c r="E183" s="2" t="s">
        <v>45</v>
      </c>
      <c r="F183">
        <v>12</v>
      </c>
      <c r="G183">
        <v>1200</v>
      </c>
      <c r="H183">
        <v>14400</v>
      </c>
      <c r="I183">
        <v>8640</v>
      </c>
      <c r="J183">
        <v>5760</v>
      </c>
    </row>
    <row r="184" spans="1:10" x14ac:dyDescent="0.3">
      <c r="A184" s="2" t="s">
        <v>224</v>
      </c>
      <c r="B184" s="3">
        <v>45857</v>
      </c>
      <c r="C184" s="2" t="s">
        <v>42</v>
      </c>
      <c r="D184" s="2" t="s">
        <v>15</v>
      </c>
      <c r="E184" s="2" t="s">
        <v>16</v>
      </c>
      <c r="F184">
        <v>8</v>
      </c>
      <c r="G184">
        <v>427.5</v>
      </c>
      <c r="H184">
        <v>3420</v>
      </c>
      <c r="I184">
        <v>1920</v>
      </c>
      <c r="J184">
        <v>1500</v>
      </c>
    </row>
    <row r="185" spans="1:10" x14ac:dyDescent="0.3">
      <c r="A185" s="2" t="s">
        <v>225</v>
      </c>
      <c r="B185" s="3">
        <v>45692</v>
      </c>
      <c r="C185" s="2" t="s">
        <v>42</v>
      </c>
      <c r="D185" s="2" t="s">
        <v>18</v>
      </c>
      <c r="E185" s="2" t="s">
        <v>52</v>
      </c>
      <c r="F185">
        <v>1</v>
      </c>
      <c r="G185">
        <v>135</v>
      </c>
      <c r="H185">
        <v>135</v>
      </c>
      <c r="I185">
        <v>65</v>
      </c>
      <c r="J185">
        <v>70</v>
      </c>
    </row>
    <row r="186" spans="1:10" x14ac:dyDescent="0.3">
      <c r="A186" s="2" t="s">
        <v>226</v>
      </c>
      <c r="B186" s="3">
        <v>45856</v>
      </c>
      <c r="C186" s="2" t="s">
        <v>14</v>
      </c>
      <c r="D186" s="2" t="s">
        <v>32</v>
      </c>
      <c r="E186" s="2" t="s">
        <v>35</v>
      </c>
      <c r="F186">
        <v>9</v>
      </c>
      <c r="G186">
        <v>990</v>
      </c>
      <c r="H186">
        <v>8910</v>
      </c>
      <c r="I186">
        <v>5580</v>
      </c>
      <c r="J186">
        <v>3330</v>
      </c>
    </row>
    <row r="187" spans="1:10" x14ac:dyDescent="0.3">
      <c r="A187" s="2" t="s">
        <v>227</v>
      </c>
      <c r="B187" s="3">
        <v>45784</v>
      </c>
      <c r="C187" s="2" t="s">
        <v>14</v>
      </c>
      <c r="D187" s="2" t="s">
        <v>15</v>
      </c>
      <c r="E187" s="2" t="s">
        <v>43</v>
      </c>
      <c r="F187">
        <v>12</v>
      </c>
      <c r="G187">
        <v>630</v>
      </c>
      <c r="H187">
        <v>7560</v>
      </c>
      <c r="I187">
        <v>4920</v>
      </c>
      <c r="J187">
        <v>2640</v>
      </c>
    </row>
    <row r="188" spans="1:10" x14ac:dyDescent="0.3">
      <c r="A188" s="2" t="s">
        <v>228</v>
      </c>
      <c r="B188" s="3">
        <v>45714</v>
      </c>
      <c r="C188" s="2" t="s">
        <v>42</v>
      </c>
      <c r="D188" s="2" t="s">
        <v>15</v>
      </c>
      <c r="E188" s="2" t="s">
        <v>16</v>
      </c>
      <c r="F188">
        <v>6</v>
      </c>
      <c r="G188">
        <v>427.5</v>
      </c>
      <c r="H188">
        <v>2565</v>
      </c>
      <c r="I188">
        <v>1440</v>
      </c>
      <c r="J188">
        <v>1125</v>
      </c>
    </row>
    <row r="189" spans="1:10" x14ac:dyDescent="0.3">
      <c r="A189" s="2" t="s">
        <v>229</v>
      </c>
      <c r="B189" s="3">
        <v>45710</v>
      </c>
      <c r="C189" s="2" t="s">
        <v>21</v>
      </c>
      <c r="D189" s="2" t="s">
        <v>18</v>
      </c>
      <c r="E189" s="2" t="s">
        <v>19</v>
      </c>
      <c r="F189">
        <v>2</v>
      </c>
      <c r="G189">
        <v>225</v>
      </c>
      <c r="H189">
        <v>450</v>
      </c>
      <c r="I189">
        <v>260</v>
      </c>
      <c r="J189">
        <v>190</v>
      </c>
    </row>
    <row r="190" spans="1:10" x14ac:dyDescent="0.3">
      <c r="A190" s="2" t="s">
        <v>230</v>
      </c>
      <c r="B190" s="3">
        <v>45737</v>
      </c>
      <c r="C190" s="2" t="s">
        <v>25</v>
      </c>
      <c r="D190" s="2" t="s">
        <v>32</v>
      </c>
      <c r="E190" s="2" t="s">
        <v>47</v>
      </c>
      <c r="F190">
        <v>10</v>
      </c>
      <c r="G190">
        <v>8075</v>
      </c>
      <c r="H190">
        <v>80750</v>
      </c>
      <c r="I190">
        <v>65000</v>
      </c>
      <c r="J190">
        <v>15750</v>
      </c>
    </row>
    <row r="191" spans="1:10" x14ac:dyDescent="0.3">
      <c r="A191" s="2" t="s">
        <v>231</v>
      </c>
      <c r="B191" s="3">
        <v>45701</v>
      </c>
      <c r="C191" s="2" t="s">
        <v>14</v>
      </c>
      <c r="D191" s="2" t="s">
        <v>15</v>
      </c>
      <c r="E191" s="2" t="s">
        <v>38</v>
      </c>
      <c r="F191">
        <v>2</v>
      </c>
      <c r="G191">
        <v>600</v>
      </c>
      <c r="H191">
        <v>1200</v>
      </c>
      <c r="I191">
        <v>660</v>
      </c>
      <c r="J191">
        <v>540</v>
      </c>
    </row>
    <row r="192" spans="1:10" x14ac:dyDescent="0.3">
      <c r="A192" s="2" t="s">
        <v>232</v>
      </c>
      <c r="B192" s="3">
        <v>45903</v>
      </c>
      <c r="C192" s="2" t="s">
        <v>14</v>
      </c>
      <c r="D192" s="2" t="s">
        <v>32</v>
      </c>
      <c r="E192" s="2" t="s">
        <v>35</v>
      </c>
      <c r="F192">
        <v>4</v>
      </c>
      <c r="G192">
        <v>1045</v>
      </c>
      <c r="H192">
        <v>4180</v>
      </c>
      <c r="I192">
        <v>2480</v>
      </c>
      <c r="J192">
        <v>1700</v>
      </c>
    </row>
    <row r="193" spans="1:10" x14ac:dyDescent="0.3">
      <c r="A193" s="2" t="s">
        <v>233</v>
      </c>
      <c r="B193" s="3">
        <v>46021</v>
      </c>
      <c r="C193" s="2" t="s">
        <v>37</v>
      </c>
      <c r="D193" s="2" t="s">
        <v>15</v>
      </c>
      <c r="E193" s="2" t="s">
        <v>43</v>
      </c>
      <c r="F193">
        <v>9</v>
      </c>
      <c r="G193">
        <v>665</v>
      </c>
      <c r="H193">
        <v>5985</v>
      </c>
      <c r="I193">
        <v>3690</v>
      </c>
      <c r="J193">
        <v>2295</v>
      </c>
    </row>
    <row r="194" spans="1:10" x14ac:dyDescent="0.3">
      <c r="A194" s="2" t="s">
        <v>234</v>
      </c>
      <c r="B194" s="3">
        <v>45894</v>
      </c>
      <c r="C194" s="2" t="s">
        <v>14</v>
      </c>
      <c r="D194" s="2" t="s">
        <v>15</v>
      </c>
      <c r="E194" s="2" t="s">
        <v>43</v>
      </c>
      <c r="F194">
        <v>2</v>
      </c>
      <c r="G194">
        <v>665</v>
      </c>
      <c r="H194">
        <v>1330</v>
      </c>
      <c r="I194">
        <v>820</v>
      </c>
      <c r="J194">
        <v>510</v>
      </c>
    </row>
    <row r="195" spans="1:10" x14ac:dyDescent="0.3">
      <c r="A195" s="2" t="s">
        <v>235</v>
      </c>
      <c r="B195" s="3">
        <v>45858</v>
      </c>
      <c r="C195" s="2" t="s">
        <v>25</v>
      </c>
      <c r="D195" s="2" t="s">
        <v>18</v>
      </c>
      <c r="E195" s="2" t="s">
        <v>65</v>
      </c>
      <c r="F195">
        <v>8</v>
      </c>
      <c r="G195">
        <v>288</v>
      </c>
      <c r="H195">
        <v>2304</v>
      </c>
      <c r="I195">
        <v>1680</v>
      </c>
      <c r="J195">
        <v>624</v>
      </c>
    </row>
    <row r="196" spans="1:10" x14ac:dyDescent="0.3">
      <c r="A196" s="2" t="s">
        <v>236</v>
      </c>
      <c r="B196" s="3">
        <v>45682</v>
      </c>
      <c r="C196" s="2" t="s">
        <v>14</v>
      </c>
      <c r="D196" s="2" t="s">
        <v>15</v>
      </c>
      <c r="E196" s="2" t="s">
        <v>16</v>
      </c>
      <c r="F196">
        <v>9</v>
      </c>
      <c r="G196">
        <v>405</v>
      </c>
      <c r="H196">
        <v>3645</v>
      </c>
      <c r="I196">
        <v>2160</v>
      </c>
      <c r="J196">
        <v>1485</v>
      </c>
    </row>
    <row r="197" spans="1:10" x14ac:dyDescent="0.3">
      <c r="A197" s="2" t="s">
        <v>237</v>
      </c>
      <c r="B197" s="3">
        <v>45754</v>
      </c>
      <c r="C197" s="2" t="s">
        <v>42</v>
      </c>
      <c r="D197" s="2" t="s">
        <v>22</v>
      </c>
      <c r="E197" s="2" t="s">
        <v>23</v>
      </c>
      <c r="F197">
        <v>3</v>
      </c>
      <c r="G197">
        <v>9500</v>
      </c>
      <c r="H197">
        <v>28500</v>
      </c>
      <c r="I197">
        <v>22800</v>
      </c>
      <c r="J197">
        <v>5700</v>
      </c>
    </row>
    <row r="198" spans="1:10" x14ac:dyDescent="0.3">
      <c r="A198" s="2" t="s">
        <v>238</v>
      </c>
      <c r="B198" s="3">
        <v>45678</v>
      </c>
      <c r="C198" s="2" t="s">
        <v>37</v>
      </c>
      <c r="D198" s="2" t="s">
        <v>18</v>
      </c>
      <c r="E198" s="2" t="s">
        <v>52</v>
      </c>
      <c r="F198">
        <v>6</v>
      </c>
      <c r="G198">
        <v>150</v>
      </c>
      <c r="H198">
        <v>900</v>
      </c>
      <c r="I198">
        <v>390</v>
      </c>
      <c r="J198">
        <v>510</v>
      </c>
    </row>
    <row r="199" spans="1:10" x14ac:dyDescent="0.3">
      <c r="A199" s="2" t="s">
        <v>239</v>
      </c>
      <c r="B199" s="3">
        <v>45853</v>
      </c>
      <c r="C199" s="2" t="s">
        <v>25</v>
      </c>
      <c r="D199" s="2" t="s">
        <v>18</v>
      </c>
      <c r="E199" s="2" t="s">
        <v>52</v>
      </c>
      <c r="F199">
        <v>7</v>
      </c>
      <c r="G199">
        <v>135</v>
      </c>
      <c r="H199">
        <v>945</v>
      </c>
      <c r="I199">
        <v>455</v>
      </c>
      <c r="J199">
        <v>490</v>
      </c>
    </row>
    <row r="200" spans="1:10" x14ac:dyDescent="0.3">
      <c r="A200" s="2" t="s">
        <v>240</v>
      </c>
      <c r="B200" s="3">
        <v>45661</v>
      </c>
      <c r="C200" s="2" t="s">
        <v>14</v>
      </c>
      <c r="D200" s="2" t="s">
        <v>32</v>
      </c>
      <c r="E200" s="2" t="s">
        <v>55</v>
      </c>
      <c r="F200">
        <v>2</v>
      </c>
      <c r="G200">
        <v>5800</v>
      </c>
      <c r="H200">
        <v>11600</v>
      </c>
      <c r="I200">
        <v>8400</v>
      </c>
      <c r="J200">
        <v>3200</v>
      </c>
    </row>
    <row r="201" spans="1:10" x14ac:dyDescent="0.3">
      <c r="A201" s="2" t="s">
        <v>241</v>
      </c>
      <c r="B201" s="3">
        <v>45912</v>
      </c>
      <c r="C201" s="2" t="s">
        <v>14</v>
      </c>
      <c r="D201" s="2" t="s">
        <v>15</v>
      </c>
      <c r="E201" s="2" t="s">
        <v>16</v>
      </c>
      <c r="F201">
        <v>3</v>
      </c>
      <c r="G201">
        <v>450</v>
      </c>
      <c r="H201">
        <v>1350</v>
      </c>
      <c r="I201">
        <v>720</v>
      </c>
      <c r="J201">
        <v>630</v>
      </c>
    </row>
    <row r="202" spans="1:10" x14ac:dyDescent="0.3">
      <c r="A202" s="2" t="s">
        <v>242</v>
      </c>
      <c r="B202" s="3">
        <v>45713</v>
      </c>
      <c r="C202" s="2" t="s">
        <v>42</v>
      </c>
      <c r="D202" s="2" t="s">
        <v>22</v>
      </c>
      <c r="E202" s="2" t="s">
        <v>23</v>
      </c>
      <c r="F202">
        <v>7</v>
      </c>
      <c r="G202">
        <v>8550</v>
      </c>
      <c r="H202">
        <v>59850</v>
      </c>
      <c r="I202">
        <v>53200</v>
      </c>
      <c r="J202">
        <v>6650</v>
      </c>
    </row>
    <row r="203" spans="1:10" x14ac:dyDescent="0.3">
      <c r="A203" s="2" t="s">
        <v>243</v>
      </c>
      <c r="B203" s="3">
        <v>45971</v>
      </c>
      <c r="C203" s="2" t="s">
        <v>25</v>
      </c>
      <c r="D203" s="2" t="s">
        <v>22</v>
      </c>
      <c r="E203" s="2" t="s">
        <v>28</v>
      </c>
      <c r="F203">
        <v>12</v>
      </c>
      <c r="G203">
        <v>585</v>
      </c>
      <c r="H203">
        <v>7020</v>
      </c>
      <c r="I203">
        <v>4560</v>
      </c>
      <c r="J203">
        <v>2460</v>
      </c>
    </row>
    <row r="204" spans="1:10" x14ac:dyDescent="0.3">
      <c r="A204" s="2" t="s">
        <v>244</v>
      </c>
      <c r="B204" s="3">
        <v>45683</v>
      </c>
      <c r="C204" s="2" t="s">
        <v>21</v>
      </c>
      <c r="D204" s="2" t="s">
        <v>18</v>
      </c>
      <c r="E204" s="2" t="s">
        <v>52</v>
      </c>
      <c r="F204">
        <v>1</v>
      </c>
      <c r="G204">
        <v>142.5</v>
      </c>
      <c r="H204">
        <v>142.5</v>
      </c>
      <c r="I204">
        <v>65</v>
      </c>
      <c r="J204">
        <v>77.5</v>
      </c>
    </row>
    <row r="205" spans="1:10" x14ac:dyDescent="0.3">
      <c r="A205" s="2" t="s">
        <v>245</v>
      </c>
      <c r="B205" s="3">
        <v>45855</v>
      </c>
      <c r="C205" s="2" t="s">
        <v>42</v>
      </c>
      <c r="D205" s="2" t="s">
        <v>22</v>
      </c>
      <c r="E205" s="2" t="s">
        <v>28</v>
      </c>
      <c r="F205">
        <v>12</v>
      </c>
      <c r="G205">
        <v>617.5</v>
      </c>
      <c r="H205">
        <v>7410</v>
      </c>
      <c r="I205">
        <v>4560</v>
      </c>
      <c r="J205">
        <v>2850</v>
      </c>
    </row>
    <row r="206" spans="1:10" x14ac:dyDescent="0.3">
      <c r="A206" s="2" t="s">
        <v>246</v>
      </c>
      <c r="B206" s="3">
        <v>46018</v>
      </c>
      <c r="C206" s="2" t="s">
        <v>14</v>
      </c>
      <c r="D206" s="2" t="s">
        <v>32</v>
      </c>
      <c r="E206" s="2" t="s">
        <v>35</v>
      </c>
      <c r="F206">
        <v>7</v>
      </c>
      <c r="G206">
        <v>1100</v>
      </c>
      <c r="H206">
        <v>7700</v>
      </c>
      <c r="I206">
        <v>4340</v>
      </c>
      <c r="J206">
        <v>3360</v>
      </c>
    </row>
    <row r="207" spans="1:10" x14ac:dyDescent="0.3">
      <c r="A207" s="2" t="s">
        <v>247</v>
      </c>
      <c r="B207" s="3">
        <v>45964</v>
      </c>
      <c r="C207" s="2" t="s">
        <v>25</v>
      </c>
      <c r="D207" s="2" t="s">
        <v>18</v>
      </c>
      <c r="E207" s="2" t="s">
        <v>52</v>
      </c>
      <c r="F207">
        <v>6</v>
      </c>
      <c r="G207">
        <v>150</v>
      </c>
      <c r="H207">
        <v>900</v>
      </c>
      <c r="I207">
        <v>390</v>
      </c>
      <c r="J207">
        <v>510</v>
      </c>
    </row>
    <row r="208" spans="1:10" x14ac:dyDescent="0.3">
      <c r="A208" s="2" t="s">
        <v>248</v>
      </c>
      <c r="B208" s="3">
        <v>45843</v>
      </c>
      <c r="C208" s="2" t="s">
        <v>37</v>
      </c>
      <c r="D208" s="2" t="s">
        <v>22</v>
      </c>
      <c r="E208" s="2" t="s">
        <v>28</v>
      </c>
      <c r="F208">
        <v>6</v>
      </c>
      <c r="G208">
        <v>650</v>
      </c>
      <c r="H208">
        <v>3900</v>
      </c>
      <c r="I208">
        <v>2280</v>
      </c>
      <c r="J208">
        <v>1620</v>
      </c>
    </row>
    <row r="209" spans="1:10" x14ac:dyDescent="0.3">
      <c r="A209" s="2" t="s">
        <v>249</v>
      </c>
      <c r="B209" s="3">
        <v>45809</v>
      </c>
      <c r="C209" s="2" t="s">
        <v>14</v>
      </c>
      <c r="D209" s="2" t="s">
        <v>18</v>
      </c>
      <c r="E209" s="2" t="s">
        <v>52</v>
      </c>
      <c r="F209">
        <v>8</v>
      </c>
      <c r="G209">
        <v>150</v>
      </c>
      <c r="H209">
        <v>1200</v>
      </c>
      <c r="I209">
        <v>520</v>
      </c>
      <c r="J209">
        <v>680</v>
      </c>
    </row>
    <row r="210" spans="1:10" x14ac:dyDescent="0.3">
      <c r="A210" s="2" t="s">
        <v>250</v>
      </c>
      <c r="B210" s="3">
        <v>45770</v>
      </c>
      <c r="C210" s="2" t="s">
        <v>42</v>
      </c>
      <c r="D210" s="2" t="s">
        <v>32</v>
      </c>
      <c r="E210" s="2" t="s">
        <v>62</v>
      </c>
      <c r="F210">
        <v>2</v>
      </c>
      <c r="G210">
        <v>4200</v>
      </c>
      <c r="H210">
        <v>8400</v>
      </c>
      <c r="I210">
        <v>5800</v>
      </c>
      <c r="J210">
        <v>2600</v>
      </c>
    </row>
    <row r="211" spans="1:10" x14ac:dyDescent="0.3">
      <c r="A211" s="2" t="s">
        <v>251</v>
      </c>
      <c r="B211" s="3">
        <v>45903</v>
      </c>
      <c r="C211" s="2" t="s">
        <v>42</v>
      </c>
      <c r="D211" s="2" t="s">
        <v>18</v>
      </c>
      <c r="E211" s="2" t="s">
        <v>65</v>
      </c>
      <c r="F211">
        <v>4</v>
      </c>
      <c r="G211">
        <v>304</v>
      </c>
      <c r="H211">
        <v>1216</v>
      </c>
      <c r="I211">
        <v>840</v>
      </c>
      <c r="J211">
        <v>376</v>
      </c>
    </row>
    <row r="212" spans="1:10" x14ac:dyDescent="0.3">
      <c r="A212" s="2" t="s">
        <v>252</v>
      </c>
      <c r="B212" s="3">
        <v>45848</v>
      </c>
      <c r="C212" s="2" t="s">
        <v>25</v>
      </c>
      <c r="D212" s="2" t="s">
        <v>18</v>
      </c>
      <c r="E212" s="2" t="s">
        <v>65</v>
      </c>
      <c r="F212">
        <v>6</v>
      </c>
      <c r="G212">
        <v>320</v>
      </c>
      <c r="H212">
        <v>1920</v>
      </c>
      <c r="I212">
        <v>1260</v>
      </c>
      <c r="J212">
        <v>660</v>
      </c>
    </row>
    <row r="213" spans="1:10" x14ac:dyDescent="0.3">
      <c r="A213" s="2" t="s">
        <v>253</v>
      </c>
      <c r="B213" s="3">
        <v>45828</v>
      </c>
      <c r="C213" s="2" t="s">
        <v>14</v>
      </c>
      <c r="D213" s="2" t="s">
        <v>18</v>
      </c>
      <c r="E213" s="2" t="s">
        <v>19</v>
      </c>
      <c r="F213">
        <v>5</v>
      </c>
      <c r="G213">
        <v>250</v>
      </c>
      <c r="H213">
        <v>1250</v>
      </c>
      <c r="I213">
        <v>650</v>
      </c>
      <c r="J213">
        <v>600</v>
      </c>
    </row>
    <row r="214" spans="1:10" x14ac:dyDescent="0.3">
      <c r="A214" s="2" t="s">
        <v>254</v>
      </c>
      <c r="B214" s="3">
        <v>45957</v>
      </c>
      <c r="C214" s="2" t="s">
        <v>14</v>
      </c>
      <c r="D214" s="2" t="s">
        <v>18</v>
      </c>
      <c r="E214" s="2" t="s">
        <v>26</v>
      </c>
      <c r="F214">
        <v>7</v>
      </c>
      <c r="G214">
        <v>171</v>
      </c>
      <c r="H214">
        <v>1197</v>
      </c>
      <c r="I214">
        <v>560</v>
      </c>
      <c r="J214">
        <v>637</v>
      </c>
    </row>
    <row r="215" spans="1:10" x14ac:dyDescent="0.3">
      <c r="A215" s="2" t="s">
        <v>255</v>
      </c>
      <c r="B215" s="3">
        <v>45763</v>
      </c>
      <c r="C215" s="2" t="s">
        <v>21</v>
      </c>
      <c r="D215" s="2" t="s">
        <v>32</v>
      </c>
      <c r="E215" s="2" t="s">
        <v>33</v>
      </c>
      <c r="F215">
        <v>5</v>
      </c>
      <c r="G215">
        <v>6200</v>
      </c>
      <c r="H215">
        <v>31000</v>
      </c>
      <c r="I215">
        <v>22500</v>
      </c>
      <c r="J215">
        <v>8500</v>
      </c>
    </row>
    <row r="216" spans="1:10" x14ac:dyDescent="0.3">
      <c r="A216" s="2" t="s">
        <v>256</v>
      </c>
      <c r="B216" s="3">
        <v>45954</v>
      </c>
      <c r="C216" s="2" t="s">
        <v>21</v>
      </c>
      <c r="D216" s="2" t="s">
        <v>18</v>
      </c>
      <c r="E216" s="2" t="s">
        <v>82</v>
      </c>
      <c r="F216">
        <v>9</v>
      </c>
      <c r="G216">
        <v>220</v>
      </c>
      <c r="H216">
        <v>1980</v>
      </c>
      <c r="I216">
        <v>1080</v>
      </c>
      <c r="J216">
        <v>900</v>
      </c>
    </row>
    <row r="217" spans="1:10" x14ac:dyDescent="0.3">
      <c r="A217" s="2" t="s">
        <v>257</v>
      </c>
      <c r="B217" s="3">
        <v>45904</v>
      </c>
      <c r="C217" s="2" t="s">
        <v>37</v>
      </c>
      <c r="D217" s="2" t="s">
        <v>22</v>
      </c>
      <c r="E217" s="2" t="s">
        <v>45</v>
      </c>
      <c r="F217">
        <v>12</v>
      </c>
      <c r="G217">
        <v>1200</v>
      </c>
      <c r="H217">
        <v>14400</v>
      </c>
      <c r="I217">
        <v>8640</v>
      </c>
      <c r="J217">
        <v>5760</v>
      </c>
    </row>
    <row r="218" spans="1:10" x14ac:dyDescent="0.3">
      <c r="A218" s="2" t="s">
        <v>258</v>
      </c>
      <c r="B218" s="3">
        <v>45797</v>
      </c>
      <c r="C218" s="2" t="s">
        <v>14</v>
      </c>
      <c r="D218" s="2" t="s">
        <v>18</v>
      </c>
      <c r="E218" s="2" t="s">
        <v>19</v>
      </c>
      <c r="F218">
        <v>11</v>
      </c>
      <c r="G218">
        <v>225</v>
      </c>
      <c r="H218">
        <v>2475</v>
      </c>
      <c r="I218">
        <v>1430</v>
      </c>
      <c r="J218">
        <v>1045</v>
      </c>
    </row>
    <row r="219" spans="1:10" x14ac:dyDescent="0.3">
      <c r="A219" s="2" t="s">
        <v>259</v>
      </c>
      <c r="B219" s="3">
        <v>45922</v>
      </c>
      <c r="C219" s="2" t="s">
        <v>21</v>
      </c>
      <c r="D219" s="2" t="s">
        <v>15</v>
      </c>
      <c r="E219" s="2" t="s">
        <v>38</v>
      </c>
      <c r="F219">
        <v>10</v>
      </c>
      <c r="G219">
        <v>600</v>
      </c>
      <c r="H219">
        <v>6000</v>
      </c>
      <c r="I219">
        <v>3300</v>
      </c>
      <c r="J219">
        <v>2700</v>
      </c>
    </row>
    <row r="220" spans="1:10" x14ac:dyDescent="0.3">
      <c r="A220" s="2" t="s">
        <v>260</v>
      </c>
      <c r="B220" s="3">
        <v>45737</v>
      </c>
      <c r="C220" s="2" t="s">
        <v>42</v>
      </c>
      <c r="D220" s="2" t="s">
        <v>22</v>
      </c>
      <c r="E220" s="2" t="s">
        <v>23</v>
      </c>
      <c r="F220">
        <v>6</v>
      </c>
      <c r="G220">
        <v>9500</v>
      </c>
      <c r="H220">
        <v>57000</v>
      </c>
      <c r="I220">
        <v>45600</v>
      </c>
      <c r="J220">
        <v>11400</v>
      </c>
    </row>
    <row r="221" spans="1:10" x14ac:dyDescent="0.3">
      <c r="A221" s="2" t="s">
        <v>261</v>
      </c>
      <c r="B221" s="3">
        <v>45950</v>
      </c>
      <c r="C221" s="2" t="s">
        <v>14</v>
      </c>
      <c r="D221" s="2" t="s">
        <v>18</v>
      </c>
      <c r="E221" s="2" t="s">
        <v>19</v>
      </c>
      <c r="F221">
        <v>9</v>
      </c>
      <c r="G221">
        <v>250</v>
      </c>
      <c r="H221">
        <v>2250</v>
      </c>
      <c r="I221">
        <v>1170</v>
      </c>
      <c r="J221">
        <v>1080</v>
      </c>
    </row>
    <row r="222" spans="1:10" x14ac:dyDescent="0.3">
      <c r="A222" s="2" t="s">
        <v>262</v>
      </c>
      <c r="B222" s="3">
        <v>45664</v>
      </c>
      <c r="C222" s="2" t="s">
        <v>25</v>
      </c>
      <c r="D222" s="2" t="s">
        <v>32</v>
      </c>
      <c r="E222" s="2" t="s">
        <v>33</v>
      </c>
      <c r="F222">
        <v>7</v>
      </c>
      <c r="G222">
        <v>6200</v>
      </c>
      <c r="H222">
        <v>43400</v>
      </c>
      <c r="I222">
        <v>31500</v>
      </c>
      <c r="J222">
        <v>11900</v>
      </c>
    </row>
    <row r="223" spans="1:10" x14ac:dyDescent="0.3">
      <c r="A223" s="2" t="s">
        <v>263</v>
      </c>
      <c r="B223" s="3">
        <v>45839</v>
      </c>
      <c r="C223" s="2" t="s">
        <v>42</v>
      </c>
      <c r="D223" s="2" t="s">
        <v>22</v>
      </c>
      <c r="E223" s="2" t="s">
        <v>45</v>
      </c>
      <c r="F223">
        <v>10</v>
      </c>
      <c r="G223">
        <v>1140</v>
      </c>
      <c r="H223">
        <v>11400</v>
      </c>
      <c r="I223">
        <v>7200</v>
      </c>
      <c r="J223">
        <v>4200</v>
      </c>
    </row>
    <row r="224" spans="1:10" x14ac:dyDescent="0.3">
      <c r="A224" s="2" t="s">
        <v>264</v>
      </c>
      <c r="B224" s="3">
        <v>45795</v>
      </c>
      <c r="C224" s="2" t="s">
        <v>42</v>
      </c>
      <c r="D224" s="2" t="s">
        <v>15</v>
      </c>
      <c r="E224" s="2" t="s">
        <v>38</v>
      </c>
      <c r="F224">
        <v>1</v>
      </c>
      <c r="G224">
        <v>540</v>
      </c>
      <c r="H224">
        <v>540</v>
      </c>
      <c r="I224">
        <v>330</v>
      </c>
      <c r="J224">
        <v>210</v>
      </c>
    </row>
    <row r="225" spans="1:10" x14ac:dyDescent="0.3">
      <c r="A225" s="2" t="s">
        <v>265</v>
      </c>
      <c r="B225" s="3">
        <v>45830</v>
      </c>
      <c r="C225" s="2" t="s">
        <v>14</v>
      </c>
      <c r="D225" s="2" t="s">
        <v>32</v>
      </c>
      <c r="E225" s="2" t="s">
        <v>47</v>
      </c>
      <c r="F225">
        <v>10</v>
      </c>
      <c r="G225">
        <v>7650</v>
      </c>
      <c r="H225">
        <v>76500</v>
      </c>
      <c r="I225">
        <v>65000</v>
      </c>
      <c r="J225">
        <v>11500</v>
      </c>
    </row>
    <row r="226" spans="1:10" x14ac:dyDescent="0.3">
      <c r="A226" s="2" t="s">
        <v>266</v>
      </c>
      <c r="B226" s="3">
        <v>45870</v>
      </c>
      <c r="C226" s="2" t="s">
        <v>37</v>
      </c>
      <c r="D226" s="2" t="s">
        <v>22</v>
      </c>
      <c r="E226" s="2" t="s">
        <v>45</v>
      </c>
      <c r="F226">
        <v>7</v>
      </c>
      <c r="G226">
        <v>1200</v>
      </c>
      <c r="H226">
        <v>8400</v>
      </c>
      <c r="I226">
        <v>5040</v>
      </c>
      <c r="J226">
        <v>3360</v>
      </c>
    </row>
    <row r="227" spans="1:10" x14ac:dyDescent="0.3">
      <c r="A227" s="2" t="s">
        <v>267</v>
      </c>
      <c r="B227" s="3">
        <v>45940</v>
      </c>
      <c r="C227" s="2" t="s">
        <v>37</v>
      </c>
      <c r="D227" s="2" t="s">
        <v>22</v>
      </c>
      <c r="E227" s="2" t="s">
        <v>23</v>
      </c>
      <c r="F227">
        <v>3</v>
      </c>
      <c r="G227">
        <v>9025</v>
      </c>
      <c r="H227">
        <v>27075</v>
      </c>
      <c r="I227">
        <v>22800</v>
      </c>
      <c r="J227">
        <v>4275</v>
      </c>
    </row>
    <row r="228" spans="1:10" x14ac:dyDescent="0.3">
      <c r="A228" s="2" t="s">
        <v>268</v>
      </c>
      <c r="B228" s="3">
        <v>45929</v>
      </c>
      <c r="C228" s="2" t="s">
        <v>37</v>
      </c>
      <c r="D228" s="2" t="s">
        <v>18</v>
      </c>
      <c r="E228" s="2" t="s">
        <v>65</v>
      </c>
      <c r="F228">
        <v>11</v>
      </c>
      <c r="G228">
        <v>320</v>
      </c>
      <c r="H228">
        <v>3520</v>
      </c>
      <c r="I228">
        <v>2310</v>
      </c>
      <c r="J228">
        <v>1210</v>
      </c>
    </row>
    <row r="229" spans="1:10" x14ac:dyDescent="0.3">
      <c r="A229" s="2" t="s">
        <v>269</v>
      </c>
      <c r="B229" s="3">
        <v>46010</v>
      </c>
      <c r="C229" s="2" t="s">
        <v>25</v>
      </c>
      <c r="D229" s="2" t="s">
        <v>32</v>
      </c>
      <c r="E229" s="2" t="s">
        <v>35</v>
      </c>
      <c r="F229">
        <v>8</v>
      </c>
      <c r="G229">
        <v>1045</v>
      </c>
      <c r="H229">
        <v>8360</v>
      </c>
      <c r="I229">
        <v>4960</v>
      </c>
      <c r="J229">
        <v>3400</v>
      </c>
    </row>
    <row r="230" spans="1:10" x14ac:dyDescent="0.3">
      <c r="A230" s="2" t="s">
        <v>270</v>
      </c>
      <c r="B230" s="3">
        <v>45883</v>
      </c>
      <c r="C230" s="2" t="s">
        <v>25</v>
      </c>
      <c r="D230" s="2" t="s">
        <v>32</v>
      </c>
      <c r="E230" s="2" t="s">
        <v>62</v>
      </c>
      <c r="F230">
        <v>5</v>
      </c>
      <c r="G230">
        <v>3780</v>
      </c>
      <c r="H230">
        <v>18900</v>
      </c>
      <c r="I230">
        <v>14500</v>
      </c>
      <c r="J230">
        <v>4400</v>
      </c>
    </row>
    <row r="231" spans="1:10" x14ac:dyDescent="0.3">
      <c r="A231" s="2" t="s">
        <v>271</v>
      </c>
      <c r="B231" s="3">
        <v>45788</v>
      </c>
      <c r="C231" s="2" t="s">
        <v>14</v>
      </c>
      <c r="D231" s="2" t="s">
        <v>32</v>
      </c>
      <c r="E231" s="2" t="s">
        <v>35</v>
      </c>
      <c r="F231">
        <v>10</v>
      </c>
      <c r="G231">
        <v>990</v>
      </c>
      <c r="H231">
        <v>9900</v>
      </c>
      <c r="I231">
        <v>6200</v>
      </c>
      <c r="J231">
        <v>3700</v>
      </c>
    </row>
    <row r="232" spans="1:10" x14ac:dyDescent="0.3">
      <c r="A232" s="2" t="s">
        <v>272</v>
      </c>
      <c r="B232" s="3">
        <v>45776</v>
      </c>
      <c r="C232" s="2" t="s">
        <v>42</v>
      </c>
      <c r="D232" s="2" t="s">
        <v>18</v>
      </c>
      <c r="E232" s="2" t="s">
        <v>26</v>
      </c>
      <c r="F232">
        <v>6</v>
      </c>
      <c r="G232">
        <v>171</v>
      </c>
      <c r="H232">
        <v>1026</v>
      </c>
      <c r="I232">
        <v>480</v>
      </c>
      <c r="J232">
        <v>546</v>
      </c>
    </row>
    <row r="233" spans="1:10" x14ac:dyDescent="0.3">
      <c r="A233" s="2" t="s">
        <v>273</v>
      </c>
      <c r="B233" s="3">
        <v>45696</v>
      </c>
      <c r="C233" s="2" t="s">
        <v>25</v>
      </c>
      <c r="D233" s="2" t="s">
        <v>15</v>
      </c>
      <c r="E233" s="2" t="s">
        <v>16</v>
      </c>
      <c r="F233">
        <v>6</v>
      </c>
      <c r="G233">
        <v>450</v>
      </c>
      <c r="H233">
        <v>2700</v>
      </c>
      <c r="I233">
        <v>1440</v>
      </c>
      <c r="J233">
        <v>1260</v>
      </c>
    </row>
    <row r="234" spans="1:10" x14ac:dyDescent="0.3">
      <c r="A234" s="2" t="s">
        <v>274</v>
      </c>
      <c r="B234" s="3">
        <v>45987</v>
      </c>
      <c r="C234" s="2" t="s">
        <v>37</v>
      </c>
      <c r="D234" s="2" t="s">
        <v>32</v>
      </c>
      <c r="E234" s="2" t="s">
        <v>47</v>
      </c>
      <c r="F234">
        <v>1</v>
      </c>
      <c r="G234">
        <v>8075</v>
      </c>
      <c r="H234">
        <v>8075</v>
      </c>
      <c r="I234">
        <v>6500</v>
      </c>
      <c r="J234">
        <v>1575</v>
      </c>
    </row>
    <row r="235" spans="1:10" x14ac:dyDescent="0.3">
      <c r="A235" s="2" t="s">
        <v>275</v>
      </c>
      <c r="B235" s="3">
        <v>45808</v>
      </c>
      <c r="C235" s="2" t="s">
        <v>21</v>
      </c>
      <c r="D235" s="2" t="s">
        <v>32</v>
      </c>
      <c r="E235" s="2" t="s">
        <v>33</v>
      </c>
      <c r="F235">
        <v>5</v>
      </c>
      <c r="G235">
        <v>5890</v>
      </c>
      <c r="H235">
        <v>29450</v>
      </c>
      <c r="I235">
        <v>22500</v>
      </c>
      <c r="J235">
        <v>6950</v>
      </c>
    </row>
    <row r="236" spans="1:10" x14ac:dyDescent="0.3">
      <c r="A236" s="2" t="s">
        <v>276</v>
      </c>
      <c r="B236" s="3">
        <v>45906</v>
      </c>
      <c r="C236" s="2" t="s">
        <v>42</v>
      </c>
      <c r="D236" s="2" t="s">
        <v>32</v>
      </c>
      <c r="E236" s="2" t="s">
        <v>33</v>
      </c>
      <c r="F236">
        <v>5</v>
      </c>
      <c r="G236">
        <v>6200</v>
      </c>
      <c r="H236">
        <v>31000</v>
      </c>
      <c r="I236">
        <v>22500</v>
      </c>
      <c r="J236">
        <v>8500</v>
      </c>
    </row>
    <row r="237" spans="1:10" x14ac:dyDescent="0.3">
      <c r="A237" s="2" t="s">
        <v>277</v>
      </c>
      <c r="B237" s="3">
        <v>45881</v>
      </c>
      <c r="C237" s="2" t="s">
        <v>14</v>
      </c>
      <c r="D237" s="2" t="s">
        <v>18</v>
      </c>
      <c r="E237" s="2" t="s">
        <v>19</v>
      </c>
      <c r="F237">
        <v>7</v>
      </c>
      <c r="G237">
        <v>225</v>
      </c>
      <c r="H237">
        <v>1575</v>
      </c>
      <c r="I237">
        <v>910</v>
      </c>
      <c r="J237">
        <v>665</v>
      </c>
    </row>
    <row r="238" spans="1:10" x14ac:dyDescent="0.3">
      <c r="A238" s="2" t="s">
        <v>278</v>
      </c>
      <c r="B238" s="3">
        <v>45995</v>
      </c>
      <c r="C238" s="2" t="s">
        <v>42</v>
      </c>
      <c r="D238" s="2" t="s">
        <v>22</v>
      </c>
      <c r="E238" s="2" t="s">
        <v>23</v>
      </c>
      <c r="F238">
        <v>3</v>
      </c>
      <c r="G238">
        <v>9025</v>
      </c>
      <c r="H238">
        <v>27075</v>
      </c>
      <c r="I238">
        <v>22800</v>
      </c>
      <c r="J238">
        <v>4275</v>
      </c>
    </row>
    <row r="239" spans="1:10" x14ac:dyDescent="0.3">
      <c r="A239" s="2" t="s">
        <v>279</v>
      </c>
      <c r="B239" s="3">
        <v>45919</v>
      </c>
      <c r="C239" s="2" t="s">
        <v>42</v>
      </c>
      <c r="D239" s="2" t="s">
        <v>18</v>
      </c>
      <c r="E239" s="2" t="s">
        <v>65</v>
      </c>
      <c r="F239">
        <v>6</v>
      </c>
      <c r="G239">
        <v>320</v>
      </c>
      <c r="H239">
        <v>1920</v>
      </c>
      <c r="I239">
        <v>1260</v>
      </c>
      <c r="J239">
        <v>660</v>
      </c>
    </row>
    <row r="240" spans="1:10" x14ac:dyDescent="0.3">
      <c r="A240" s="2" t="s">
        <v>280</v>
      </c>
      <c r="B240" s="3">
        <v>45783</v>
      </c>
      <c r="C240" s="2" t="s">
        <v>37</v>
      </c>
      <c r="D240" s="2" t="s">
        <v>18</v>
      </c>
      <c r="E240" s="2" t="s">
        <v>26</v>
      </c>
      <c r="F240">
        <v>6</v>
      </c>
      <c r="G240">
        <v>180</v>
      </c>
      <c r="H240">
        <v>1080</v>
      </c>
      <c r="I240">
        <v>480</v>
      </c>
      <c r="J240">
        <v>600</v>
      </c>
    </row>
    <row r="241" spans="1:10" x14ac:dyDescent="0.3">
      <c r="A241" s="2" t="s">
        <v>281</v>
      </c>
      <c r="B241" s="3">
        <v>45957</v>
      </c>
      <c r="C241" s="2" t="s">
        <v>21</v>
      </c>
      <c r="D241" s="2" t="s">
        <v>18</v>
      </c>
      <c r="E241" s="2" t="s">
        <v>19</v>
      </c>
      <c r="F241">
        <v>1</v>
      </c>
      <c r="G241">
        <v>250</v>
      </c>
      <c r="H241">
        <v>250</v>
      </c>
      <c r="I241">
        <v>130</v>
      </c>
      <c r="J241">
        <v>120</v>
      </c>
    </row>
    <row r="242" spans="1:10" x14ac:dyDescent="0.3">
      <c r="A242" s="2" t="s">
        <v>282</v>
      </c>
      <c r="B242" s="3">
        <v>45718</v>
      </c>
      <c r="C242" s="2" t="s">
        <v>37</v>
      </c>
      <c r="D242" s="2" t="s">
        <v>18</v>
      </c>
      <c r="E242" s="2" t="s">
        <v>19</v>
      </c>
      <c r="F242">
        <v>3</v>
      </c>
      <c r="G242">
        <v>225</v>
      </c>
      <c r="H242">
        <v>675</v>
      </c>
      <c r="I242">
        <v>390</v>
      </c>
      <c r="J242">
        <v>285</v>
      </c>
    </row>
    <row r="243" spans="1:10" x14ac:dyDescent="0.3">
      <c r="A243" s="2" t="s">
        <v>283</v>
      </c>
      <c r="B243" s="3">
        <v>45742</v>
      </c>
      <c r="C243" s="2" t="s">
        <v>37</v>
      </c>
      <c r="D243" s="2" t="s">
        <v>22</v>
      </c>
      <c r="E243" s="2" t="s">
        <v>40</v>
      </c>
      <c r="F243">
        <v>6</v>
      </c>
      <c r="G243">
        <v>900</v>
      </c>
      <c r="H243">
        <v>5400</v>
      </c>
      <c r="I243">
        <v>3120</v>
      </c>
      <c r="J243">
        <v>2280</v>
      </c>
    </row>
    <row r="244" spans="1:10" x14ac:dyDescent="0.3">
      <c r="A244" s="2" t="s">
        <v>284</v>
      </c>
      <c r="B244" s="3">
        <v>45715</v>
      </c>
      <c r="C244" s="2" t="s">
        <v>25</v>
      </c>
      <c r="D244" s="2" t="s">
        <v>18</v>
      </c>
      <c r="E244" s="2" t="s">
        <v>82</v>
      </c>
      <c r="F244">
        <v>5</v>
      </c>
      <c r="G244">
        <v>220</v>
      </c>
      <c r="H244">
        <v>1100</v>
      </c>
      <c r="I244">
        <v>600</v>
      </c>
      <c r="J244">
        <v>500</v>
      </c>
    </row>
    <row r="245" spans="1:10" x14ac:dyDescent="0.3">
      <c r="A245" s="2" t="s">
        <v>285</v>
      </c>
      <c r="B245" s="3">
        <v>45882</v>
      </c>
      <c r="C245" s="2" t="s">
        <v>25</v>
      </c>
      <c r="D245" s="2" t="s">
        <v>15</v>
      </c>
      <c r="E245" s="2" t="s">
        <v>38</v>
      </c>
      <c r="F245">
        <v>3</v>
      </c>
      <c r="G245">
        <v>570</v>
      </c>
      <c r="H245">
        <v>1710</v>
      </c>
      <c r="I245">
        <v>990</v>
      </c>
      <c r="J245">
        <v>720</v>
      </c>
    </row>
    <row r="246" spans="1:10" x14ac:dyDescent="0.3">
      <c r="A246" s="2" t="s">
        <v>286</v>
      </c>
      <c r="B246" s="3">
        <v>45728</v>
      </c>
      <c r="C246" s="2" t="s">
        <v>42</v>
      </c>
      <c r="D246" s="2" t="s">
        <v>18</v>
      </c>
      <c r="E246" s="2" t="s">
        <v>26</v>
      </c>
      <c r="F246">
        <v>8</v>
      </c>
      <c r="G246">
        <v>171</v>
      </c>
      <c r="H246">
        <v>1368</v>
      </c>
      <c r="I246">
        <v>640</v>
      </c>
      <c r="J246">
        <v>728</v>
      </c>
    </row>
    <row r="247" spans="1:10" x14ac:dyDescent="0.3">
      <c r="A247" s="2" t="s">
        <v>287</v>
      </c>
      <c r="B247" s="3">
        <v>45665</v>
      </c>
      <c r="C247" s="2" t="s">
        <v>42</v>
      </c>
      <c r="D247" s="2" t="s">
        <v>32</v>
      </c>
      <c r="E247" s="2" t="s">
        <v>62</v>
      </c>
      <c r="F247">
        <v>8</v>
      </c>
      <c r="G247">
        <v>4200</v>
      </c>
      <c r="H247">
        <v>33600</v>
      </c>
      <c r="I247">
        <v>23200</v>
      </c>
      <c r="J247">
        <v>10400</v>
      </c>
    </row>
    <row r="248" spans="1:10" x14ac:dyDescent="0.3">
      <c r="A248" s="2" t="s">
        <v>288</v>
      </c>
      <c r="B248" s="3">
        <v>45925</v>
      </c>
      <c r="C248" s="2" t="s">
        <v>14</v>
      </c>
      <c r="D248" s="2" t="s">
        <v>18</v>
      </c>
      <c r="E248" s="2" t="s">
        <v>52</v>
      </c>
      <c r="F248">
        <v>1</v>
      </c>
      <c r="G248">
        <v>150</v>
      </c>
      <c r="H248">
        <v>150</v>
      </c>
      <c r="I248">
        <v>65</v>
      </c>
      <c r="J248">
        <v>85</v>
      </c>
    </row>
    <row r="249" spans="1:10" x14ac:dyDescent="0.3">
      <c r="A249" s="2" t="s">
        <v>289</v>
      </c>
      <c r="B249" s="3">
        <v>45701</v>
      </c>
      <c r="C249" s="2" t="s">
        <v>14</v>
      </c>
      <c r="D249" s="2" t="s">
        <v>32</v>
      </c>
      <c r="E249" s="2" t="s">
        <v>33</v>
      </c>
      <c r="F249">
        <v>7</v>
      </c>
      <c r="G249">
        <v>5580</v>
      </c>
      <c r="H249">
        <v>39060</v>
      </c>
      <c r="I249">
        <v>31500</v>
      </c>
      <c r="J249">
        <v>7560</v>
      </c>
    </row>
    <row r="250" spans="1:10" x14ac:dyDescent="0.3">
      <c r="A250" s="2" t="s">
        <v>290</v>
      </c>
      <c r="B250" s="3">
        <v>45900</v>
      </c>
      <c r="C250" s="2" t="s">
        <v>14</v>
      </c>
      <c r="D250" s="2" t="s">
        <v>18</v>
      </c>
      <c r="E250" s="2" t="s">
        <v>65</v>
      </c>
      <c r="F250">
        <v>12</v>
      </c>
      <c r="G250">
        <v>320</v>
      </c>
      <c r="H250">
        <v>3840</v>
      </c>
      <c r="I250">
        <v>2520</v>
      </c>
      <c r="J250">
        <v>1320</v>
      </c>
    </row>
    <row r="251" spans="1:10" x14ac:dyDescent="0.3">
      <c r="A251" s="2" t="s">
        <v>291</v>
      </c>
      <c r="B251" s="3">
        <v>45976</v>
      </c>
      <c r="C251" s="2" t="s">
        <v>25</v>
      </c>
      <c r="D251" s="2" t="s">
        <v>15</v>
      </c>
      <c r="E251" s="2" t="s">
        <v>72</v>
      </c>
      <c r="F251">
        <v>2</v>
      </c>
      <c r="G251">
        <v>1170</v>
      </c>
      <c r="H251">
        <v>2340</v>
      </c>
      <c r="I251">
        <v>1640</v>
      </c>
      <c r="J251">
        <v>700</v>
      </c>
    </row>
    <row r="252" spans="1:10" x14ac:dyDescent="0.3">
      <c r="A252" s="2" t="s">
        <v>292</v>
      </c>
      <c r="B252" s="3">
        <v>45862</v>
      </c>
      <c r="C252" s="2" t="s">
        <v>21</v>
      </c>
      <c r="D252" s="2" t="s">
        <v>22</v>
      </c>
      <c r="E252" s="2" t="s">
        <v>45</v>
      </c>
      <c r="F252">
        <v>11</v>
      </c>
      <c r="G252">
        <v>1080</v>
      </c>
      <c r="H252">
        <v>11880</v>
      </c>
      <c r="I252">
        <v>7920</v>
      </c>
      <c r="J252">
        <v>3960</v>
      </c>
    </row>
    <row r="253" spans="1:10" x14ac:dyDescent="0.3">
      <c r="A253" s="2" t="s">
        <v>293</v>
      </c>
      <c r="B253" s="3">
        <v>45851</v>
      </c>
      <c r="C253" s="2" t="s">
        <v>42</v>
      </c>
      <c r="D253" s="2" t="s">
        <v>15</v>
      </c>
      <c r="E253" s="2" t="s">
        <v>43</v>
      </c>
      <c r="F253">
        <v>11</v>
      </c>
      <c r="G253">
        <v>700</v>
      </c>
      <c r="H253">
        <v>7700</v>
      </c>
      <c r="I253">
        <v>4510</v>
      </c>
      <c r="J253">
        <v>3190</v>
      </c>
    </row>
    <row r="254" spans="1:10" x14ac:dyDescent="0.3">
      <c r="A254" s="2" t="s">
        <v>294</v>
      </c>
      <c r="B254" s="3">
        <v>45927</v>
      </c>
      <c r="C254" s="2" t="s">
        <v>37</v>
      </c>
      <c r="D254" s="2" t="s">
        <v>15</v>
      </c>
      <c r="E254" s="2" t="s">
        <v>38</v>
      </c>
      <c r="F254">
        <v>5</v>
      </c>
      <c r="G254">
        <v>600</v>
      </c>
      <c r="H254">
        <v>3000</v>
      </c>
      <c r="I254">
        <v>1650</v>
      </c>
      <c r="J254">
        <v>1350</v>
      </c>
    </row>
    <row r="255" spans="1:10" x14ac:dyDescent="0.3">
      <c r="A255" s="2" t="s">
        <v>295</v>
      </c>
      <c r="B255" s="3">
        <v>45792</v>
      </c>
      <c r="C255" s="2" t="s">
        <v>37</v>
      </c>
      <c r="D255" s="2" t="s">
        <v>18</v>
      </c>
      <c r="E255" s="2" t="s">
        <v>26</v>
      </c>
      <c r="F255">
        <v>10</v>
      </c>
      <c r="G255">
        <v>171</v>
      </c>
      <c r="H255">
        <v>1710</v>
      </c>
      <c r="I255">
        <v>800</v>
      </c>
      <c r="J255">
        <v>910</v>
      </c>
    </row>
    <row r="256" spans="1:10" x14ac:dyDescent="0.3">
      <c r="A256" s="2" t="s">
        <v>296</v>
      </c>
      <c r="B256" s="3">
        <v>45806</v>
      </c>
      <c r="C256" s="2" t="s">
        <v>37</v>
      </c>
      <c r="D256" s="2" t="s">
        <v>15</v>
      </c>
      <c r="E256" s="2" t="s">
        <v>16</v>
      </c>
      <c r="F256">
        <v>4</v>
      </c>
      <c r="G256">
        <v>427.5</v>
      </c>
      <c r="H256">
        <v>1710</v>
      </c>
      <c r="I256">
        <v>960</v>
      </c>
      <c r="J256">
        <v>750</v>
      </c>
    </row>
    <row r="257" spans="1:10" x14ac:dyDescent="0.3">
      <c r="A257" s="2" t="s">
        <v>297</v>
      </c>
      <c r="B257" s="3">
        <v>45664</v>
      </c>
      <c r="C257" s="2" t="s">
        <v>42</v>
      </c>
      <c r="D257" s="2" t="s">
        <v>32</v>
      </c>
      <c r="E257" s="2" t="s">
        <v>35</v>
      </c>
      <c r="F257">
        <v>5</v>
      </c>
      <c r="G257">
        <v>1100</v>
      </c>
      <c r="H257">
        <v>5500</v>
      </c>
      <c r="I257">
        <v>3100</v>
      </c>
      <c r="J257">
        <v>2400</v>
      </c>
    </row>
    <row r="258" spans="1:10" x14ac:dyDescent="0.3">
      <c r="A258" s="2" t="s">
        <v>298</v>
      </c>
      <c r="B258" s="3">
        <v>45674</v>
      </c>
      <c r="C258" s="2" t="s">
        <v>42</v>
      </c>
      <c r="D258" s="2" t="s">
        <v>32</v>
      </c>
      <c r="E258" s="2" t="s">
        <v>62</v>
      </c>
      <c r="F258">
        <v>7</v>
      </c>
      <c r="G258">
        <v>4200</v>
      </c>
      <c r="H258">
        <v>29400</v>
      </c>
      <c r="I258">
        <v>20300</v>
      </c>
      <c r="J258">
        <v>9100</v>
      </c>
    </row>
    <row r="259" spans="1:10" x14ac:dyDescent="0.3">
      <c r="A259" s="2" t="s">
        <v>299</v>
      </c>
      <c r="B259" s="3">
        <v>45850</v>
      </c>
      <c r="C259" s="2" t="s">
        <v>21</v>
      </c>
      <c r="D259" s="2" t="s">
        <v>15</v>
      </c>
      <c r="E259" s="2" t="s">
        <v>43</v>
      </c>
      <c r="F259">
        <v>11</v>
      </c>
      <c r="G259">
        <v>665</v>
      </c>
      <c r="H259">
        <v>7315</v>
      </c>
      <c r="I259">
        <v>4510</v>
      </c>
      <c r="J259">
        <v>2805</v>
      </c>
    </row>
    <row r="260" spans="1:10" x14ac:dyDescent="0.3">
      <c r="A260" s="2" t="s">
        <v>300</v>
      </c>
      <c r="B260" s="3">
        <v>45921</v>
      </c>
      <c r="C260" s="2" t="s">
        <v>37</v>
      </c>
      <c r="D260" s="2" t="s">
        <v>15</v>
      </c>
      <c r="E260" s="2" t="s">
        <v>49</v>
      </c>
      <c r="F260">
        <v>4</v>
      </c>
      <c r="G260">
        <v>550</v>
      </c>
      <c r="H260">
        <v>2200</v>
      </c>
      <c r="I260">
        <v>1200</v>
      </c>
      <c r="J260">
        <v>1000</v>
      </c>
    </row>
    <row r="261" spans="1:10" x14ac:dyDescent="0.3">
      <c r="A261" s="2" t="s">
        <v>301</v>
      </c>
      <c r="B261" s="3">
        <v>45984</v>
      </c>
      <c r="C261" s="2" t="s">
        <v>42</v>
      </c>
      <c r="D261" s="2" t="s">
        <v>18</v>
      </c>
      <c r="E261" s="2" t="s">
        <v>19</v>
      </c>
      <c r="F261">
        <v>5</v>
      </c>
      <c r="G261">
        <v>225</v>
      </c>
      <c r="H261">
        <v>1125</v>
      </c>
      <c r="I261">
        <v>650</v>
      </c>
      <c r="J261">
        <v>475</v>
      </c>
    </row>
    <row r="262" spans="1:10" x14ac:dyDescent="0.3">
      <c r="A262" s="2" t="s">
        <v>302</v>
      </c>
      <c r="B262" s="3">
        <v>45869</v>
      </c>
      <c r="C262" s="2" t="s">
        <v>37</v>
      </c>
      <c r="D262" s="2" t="s">
        <v>18</v>
      </c>
      <c r="E262" s="2" t="s">
        <v>82</v>
      </c>
      <c r="F262">
        <v>5</v>
      </c>
      <c r="G262">
        <v>198</v>
      </c>
      <c r="H262">
        <v>990</v>
      </c>
      <c r="I262">
        <v>600</v>
      </c>
      <c r="J262">
        <v>390</v>
      </c>
    </row>
    <row r="263" spans="1:10" x14ac:dyDescent="0.3">
      <c r="A263" s="2" t="s">
        <v>303</v>
      </c>
      <c r="B263" s="3">
        <v>45768</v>
      </c>
      <c r="C263" s="2" t="s">
        <v>14</v>
      </c>
      <c r="D263" s="2" t="s">
        <v>22</v>
      </c>
      <c r="E263" s="2" t="s">
        <v>23</v>
      </c>
      <c r="F263">
        <v>5</v>
      </c>
      <c r="G263">
        <v>9025</v>
      </c>
      <c r="H263">
        <v>45125</v>
      </c>
      <c r="I263">
        <v>38000</v>
      </c>
      <c r="J263">
        <v>7125</v>
      </c>
    </row>
    <row r="264" spans="1:10" x14ac:dyDescent="0.3">
      <c r="A264" s="2" t="s">
        <v>304</v>
      </c>
      <c r="B264" s="3">
        <v>45683</v>
      </c>
      <c r="C264" s="2" t="s">
        <v>37</v>
      </c>
      <c r="D264" s="2" t="s">
        <v>22</v>
      </c>
      <c r="E264" s="2" t="s">
        <v>45</v>
      </c>
      <c r="F264">
        <v>11</v>
      </c>
      <c r="G264">
        <v>1080</v>
      </c>
      <c r="H264">
        <v>11880</v>
      </c>
      <c r="I264">
        <v>7920</v>
      </c>
      <c r="J264">
        <v>3960</v>
      </c>
    </row>
    <row r="265" spans="1:10" x14ac:dyDescent="0.3">
      <c r="A265" s="2" t="s">
        <v>305</v>
      </c>
      <c r="B265" s="3">
        <v>45981</v>
      </c>
      <c r="C265" s="2" t="s">
        <v>25</v>
      </c>
      <c r="D265" s="2" t="s">
        <v>18</v>
      </c>
      <c r="E265" s="2" t="s">
        <v>82</v>
      </c>
      <c r="F265">
        <v>5</v>
      </c>
      <c r="G265">
        <v>220</v>
      </c>
      <c r="H265">
        <v>1100</v>
      </c>
      <c r="I265">
        <v>600</v>
      </c>
      <c r="J265">
        <v>500</v>
      </c>
    </row>
    <row r="266" spans="1:10" x14ac:dyDescent="0.3">
      <c r="A266" s="2" t="s">
        <v>306</v>
      </c>
      <c r="B266" s="3">
        <v>45793</v>
      </c>
      <c r="C266" s="2" t="s">
        <v>21</v>
      </c>
      <c r="D266" s="2" t="s">
        <v>32</v>
      </c>
      <c r="E266" s="2" t="s">
        <v>35</v>
      </c>
      <c r="F266">
        <v>11</v>
      </c>
      <c r="G266">
        <v>990</v>
      </c>
      <c r="H266">
        <v>10890</v>
      </c>
      <c r="I266">
        <v>6820</v>
      </c>
      <c r="J266">
        <v>4070</v>
      </c>
    </row>
    <row r="267" spans="1:10" x14ac:dyDescent="0.3">
      <c r="A267" s="2" t="s">
        <v>307</v>
      </c>
      <c r="B267" s="3">
        <v>45784</v>
      </c>
      <c r="C267" s="2" t="s">
        <v>14</v>
      </c>
      <c r="D267" s="2" t="s">
        <v>22</v>
      </c>
      <c r="E267" s="2" t="s">
        <v>45</v>
      </c>
      <c r="F267">
        <v>10</v>
      </c>
      <c r="G267">
        <v>1200</v>
      </c>
      <c r="H267">
        <v>12000</v>
      </c>
      <c r="I267">
        <v>7200</v>
      </c>
      <c r="J267">
        <v>4800</v>
      </c>
    </row>
    <row r="268" spans="1:10" x14ac:dyDescent="0.3">
      <c r="A268" s="2" t="s">
        <v>308</v>
      </c>
      <c r="B268" s="3">
        <v>45868</v>
      </c>
      <c r="C268" s="2" t="s">
        <v>42</v>
      </c>
      <c r="D268" s="2" t="s">
        <v>18</v>
      </c>
      <c r="E268" s="2" t="s">
        <v>19</v>
      </c>
      <c r="F268">
        <v>6</v>
      </c>
      <c r="G268">
        <v>225</v>
      </c>
      <c r="H268">
        <v>1350</v>
      </c>
      <c r="I268">
        <v>780</v>
      </c>
      <c r="J268">
        <v>570</v>
      </c>
    </row>
    <row r="269" spans="1:10" x14ac:dyDescent="0.3">
      <c r="A269" s="2" t="s">
        <v>309</v>
      </c>
      <c r="B269" s="3">
        <v>45981</v>
      </c>
      <c r="C269" s="2" t="s">
        <v>25</v>
      </c>
      <c r="D269" s="2" t="s">
        <v>18</v>
      </c>
      <c r="E269" s="2" t="s">
        <v>52</v>
      </c>
      <c r="F269">
        <v>9</v>
      </c>
      <c r="G269">
        <v>150</v>
      </c>
      <c r="H269">
        <v>1350</v>
      </c>
      <c r="I269">
        <v>585</v>
      </c>
      <c r="J269">
        <v>765</v>
      </c>
    </row>
    <row r="270" spans="1:10" x14ac:dyDescent="0.3">
      <c r="A270" s="2" t="s">
        <v>310</v>
      </c>
      <c r="B270" s="3">
        <v>45766</v>
      </c>
      <c r="C270" s="2" t="s">
        <v>42</v>
      </c>
      <c r="D270" s="2" t="s">
        <v>18</v>
      </c>
      <c r="E270" s="2" t="s">
        <v>52</v>
      </c>
      <c r="F270">
        <v>3</v>
      </c>
      <c r="G270">
        <v>150</v>
      </c>
      <c r="H270">
        <v>450</v>
      </c>
      <c r="I270">
        <v>195</v>
      </c>
      <c r="J270">
        <v>255</v>
      </c>
    </row>
    <row r="271" spans="1:10" x14ac:dyDescent="0.3">
      <c r="A271" s="2" t="s">
        <v>311</v>
      </c>
      <c r="B271" s="3">
        <v>45830</v>
      </c>
      <c r="C271" s="2" t="s">
        <v>37</v>
      </c>
      <c r="D271" s="2" t="s">
        <v>15</v>
      </c>
      <c r="E271" s="2" t="s">
        <v>72</v>
      </c>
      <c r="F271">
        <v>9</v>
      </c>
      <c r="G271">
        <v>1300</v>
      </c>
      <c r="H271">
        <v>11700</v>
      </c>
      <c r="I271">
        <v>7380</v>
      </c>
      <c r="J271">
        <v>4320</v>
      </c>
    </row>
    <row r="272" spans="1:10" x14ac:dyDescent="0.3">
      <c r="A272" s="2" t="s">
        <v>312</v>
      </c>
      <c r="B272" s="3">
        <v>45681</v>
      </c>
      <c r="C272" s="2" t="s">
        <v>42</v>
      </c>
      <c r="D272" s="2" t="s">
        <v>15</v>
      </c>
      <c r="E272" s="2" t="s">
        <v>43</v>
      </c>
      <c r="F272">
        <v>3</v>
      </c>
      <c r="G272">
        <v>700</v>
      </c>
      <c r="H272">
        <v>2100</v>
      </c>
      <c r="I272">
        <v>1230</v>
      </c>
      <c r="J272">
        <v>870</v>
      </c>
    </row>
    <row r="273" spans="1:10" x14ac:dyDescent="0.3">
      <c r="A273" s="2" t="s">
        <v>313</v>
      </c>
      <c r="B273" s="3">
        <v>45901</v>
      </c>
      <c r="C273" s="2" t="s">
        <v>37</v>
      </c>
      <c r="D273" s="2" t="s">
        <v>15</v>
      </c>
      <c r="E273" s="2" t="s">
        <v>38</v>
      </c>
      <c r="F273">
        <v>2</v>
      </c>
      <c r="G273">
        <v>600</v>
      </c>
      <c r="H273">
        <v>1200</v>
      </c>
      <c r="I273">
        <v>660</v>
      </c>
      <c r="J273">
        <v>540</v>
      </c>
    </row>
    <row r="274" spans="1:10" x14ac:dyDescent="0.3">
      <c r="A274" s="2" t="s">
        <v>314</v>
      </c>
      <c r="B274" s="3">
        <v>45978</v>
      </c>
      <c r="C274" s="2" t="s">
        <v>21</v>
      </c>
      <c r="D274" s="2" t="s">
        <v>32</v>
      </c>
      <c r="E274" s="2" t="s">
        <v>35</v>
      </c>
      <c r="F274">
        <v>11</v>
      </c>
      <c r="G274">
        <v>1100</v>
      </c>
      <c r="H274">
        <v>12100</v>
      </c>
      <c r="I274">
        <v>6820</v>
      </c>
      <c r="J274">
        <v>5280</v>
      </c>
    </row>
    <row r="275" spans="1:10" x14ac:dyDescent="0.3">
      <c r="A275" s="2" t="s">
        <v>315</v>
      </c>
      <c r="B275" s="3">
        <v>45661</v>
      </c>
      <c r="C275" s="2" t="s">
        <v>42</v>
      </c>
      <c r="D275" s="2" t="s">
        <v>32</v>
      </c>
      <c r="E275" s="2" t="s">
        <v>55</v>
      </c>
      <c r="F275">
        <v>10</v>
      </c>
      <c r="G275">
        <v>5800</v>
      </c>
      <c r="H275">
        <v>58000</v>
      </c>
      <c r="I275">
        <v>42000</v>
      </c>
      <c r="J275">
        <v>16000</v>
      </c>
    </row>
    <row r="276" spans="1:10" x14ac:dyDescent="0.3">
      <c r="A276" s="2" t="s">
        <v>316</v>
      </c>
      <c r="B276" s="3">
        <v>45904</v>
      </c>
      <c r="C276" s="2" t="s">
        <v>14</v>
      </c>
      <c r="D276" s="2" t="s">
        <v>22</v>
      </c>
      <c r="E276" s="2" t="s">
        <v>23</v>
      </c>
      <c r="F276">
        <v>3</v>
      </c>
      <c r="G276">
        <v>9500</v>
      </c>
      <c r="H276">
        <v>28500</v>
      </c>
      <c r="I276">
        <v>22800</v>
      </c>
      <c r="J276">
        <v>5700</v>
      </c>
    </row>
    <row r="277" spans="1:10" x14ac:dyDescent="0.3">
      <c r="A277" s="2" t="s">
        <v>317</v>
      </c>
      <c r="B277" s="3">
        <v>45806</v>
      </c>
      <c r="C277" s="2" t="s">
        <v>14</v>
      </c>
      <c r="D277" s="2" t="s">
        <v>15</v>
      </c>
      <c r="E277" s="2" t="s">
        <v>49</v>
      </c>
      <c r="F277">
        <v>10</v>
      </c>
      <c r="G277">
        <v>550</v>
      </c>
      <c r="H277">
        <v>5500</v>
      </c>
      <c r="I277">
        <v>3000</v>
      </c>
      <c r="J277">
        <v>2500</v>
      </c>
    </row>
    <row r="278" spans="1:10" x14ac:dyDescent="0.3">
      <c r="A278" s="2" t="s">
        <v>318</v>
      </c>
      <c r="B278" s="3">
        <v>45867</v>
      </c>
      <c r="C278" s="2" t="s">
        <v>14</v>
      </c>
      <c r="D278" s="2" t="s">
        <v>22</v>
      </c>
      <c r="E278" s="2" t="s">
        <v>40</v>
      </c>
      <c r="F278">
        <v>5</v>
      </c>
      <c r="G278">
        <v>900</v>
      </c>
      <c r="H278">
        <v>4500</v>
      </c>
      <c r="I278">
        <v>2600</v>
      </c>
      <c r="J278">
        <v>1900</v>
      </c>
    </row>
    <row r="279" spans="1:10" x14ac:dyDescent="0.3">
      <c r="A279" s="2" t="s">
        <v>319</v>
      </c>
      <c r="B279" s="3">
        <v>45974</v>
      </c>
      <c r="C279" s="2" t="s">
        <v>25</v>
      </c>
      <c r="D279" s="2" t="s">
        <v>18</v>
      </c>
      <c r="E279" s="2" t="s">
        <v>52</v>
      </c>
      <c r="F279">
        <v>9</v>
      </c>
      <c r="G279">
        <v>142.5</v>
      </c>
      <c r="H279">
        <v>1282.5</v>
      </c>
      <c r="I279">
        <v>585</v>
      </c>
      <c r="J279">
        <v>697.5</v>
      </c>
    </row>
    <row r="280" spans="1:10" x14ac:dyDescent="0.3">
      <c r="A280" s="2" t="s">
        <v>320</v>
      </c>
      <c r="B280" s="3">
        <v>45943</v>
      </c>
      <c r="C280" s="2" t="s">
        <v>21</v>
      </c>
      <c r="D280" s="2" t="s">
        <v>15</v>
      </c>
      <c r="E280" s="2" t="s">
        <v>72</v>
      </c>
      <c r="F280">
        <v>11</v>
      </c>
      <c r="G280">
        <v>1300</v>
      </c>
      <c r="H280">
        <v>14300</v>
      </c>
      <c r="I280">
        <v>9020</v>
      </c>
      <c r="J280">
        <v>5280</v>
      </c>
    </row>
    <row r="281" spans="1:10" x14ac:dyDescent="0.3">
      <c r="A281" s="2" t="s">
        <v>321</v>
      </c>
      <c r="B281" s="3">
        <v>45779</v>
      </c>
      <c r="C281" s="2" t="s">
        <v>37</v>
      </c>
      <c r="D281" s="2" t="s">
        <v>18</v>
      </c>
      <c r="E281" s="2" t="s">
        <v>52</v>
      </c>
      <c r="F281">
        <v>11</v>
      </c>
      <c r="G281">
        <v>150</v>
      </c>
      <c r="H281">
        <v>1650</v>
      </c>
      <c r="I281">
        <v>715</v>
      </c>
      <c r="J281">
        <v>935</v>
      </c>
    </row>
    <row r="282" spans="1:10" x14ac:dyDescent="0.3">
      <c r="A282" s="2" t="s">
        <v>322</v>
      </c>
      <c r="B282" s="3">
        <v>45871</v>
      </c>
      <c r="C282" s="2" t="s">
        <v>42</v>
      </c>
      <c r="D282" s="2" t="s">
        <v>32</v>
      </c>
      <c r="E282" s="2" t="s">
        <v>47</v>
      </c>
      <c r="F282">
        <v>12</v>
      </c>
      <c r="G282">
        <v>8500</v>
      </c>
      <c r="H282">
        <v>102000</v>
      </c>
      <c r="I282">
        <v>78000</v>
      </c>
      <c r="J282">
        <v>24000</v>
      </c>
    </row>
    <row r="283" spans="1:10" x14ac:dyDescent="0.3">
      <c r="A283" s="2" t="s">
        <v>323</v>
      </c>
      <c r="B283" s="3">
        <v>45947</v>
      </c>
      <c r="C283" s="2" t="s">
        <v>42</v>
      </c>
      <c r="D283" s="2" t="s">
        <v>18</v>
      </c>
      <c r="E283" s="2" t="s">
        <v>26</v>
      </c>
      <c r="F283">
        <v>5</v>
      </c>
      <c r="G283">
        <v>171</v>
      </c>
      <c r="H283">
        <v>855</v>
      </c>
      <c r="I283">
        <v>400</v>
      </c>
      <c r="J283">
        <v>455</v>
      </c>
    </row>
    <row r="284" spans="1:10" x14ac:dyDescent="0.3">
      <c r="A284" s="2" t="s">
        <v>324</v>
      </c>
      <c r="B284" s="3">
        <v>45888</v>
      </c>
      <c r="C284" s="2" t="s">
        <v>37</v>
      </c>
      <c r="D284" s="2" t="s">
        <v>15</v>
      </c>
      <c r="E284" s="2" t="s">
        <v>49</v>
      </c>
      <c r="F284">
        <v>6</v>
      </c>
      <c r="G284">
        <v>550</v>
      </c>
      <c r="H284">
        <v>3300</v>
      </c>
      <c r="I284">
        <v>1800</v>
      </c>
      <c r="J284">
        <v>1500</v>
      </c>
    </row>
    <row r="285" spans="1:10" x14ac:dyDescent="0.3">
      <c r="A285" s="2" t="s">
        <v>325</v>
      </c>
      <c r="B285" s="3">
        <v>45936</v>
      </c>
      <c r="C285" s="2" t="s">
        <v>25</v>
      </c>
      <c r="D285" s="2" t="s">
        <v>22</v>
      </c>
      <c r="E285" s="2" t="s">
        <v>40</v>
      </c>
      <c r="F285">
        <v>7</v>
      </c>
      <c r="G285">
        <v>900</v>
      </c>
      <c r="H285">
        <v>6300</v>
      </c>
      <c r="I285">
        <v>3640</v>
      </c>
      <c r="J285">
        <v>2660</v>
      </c>
    </row>
    <row r="286" spans="1:10" x14ac:dyDescent="0.3">
      <c r="A286" s="2" t="s">
        <v>326</v>
      </c>
      <c r="B286" s="3">
        <v>45900</v>
      </c>
      <c r="C286" s="2" t="s">
        <v>14</v>
      </c>
      <c r="D286" s="2" t="s">
        <v>22</v>
      </c>
      <c r="E286" s="2" t="s">
        <v>97</v>
      </c>
      <c r="F286">
        <v>11</v>
      </c>
      <c r="G286">
        <v>1620</v>
      </c>
      <c r="H286">
        <v>17820</v>
      </c>
      <c r="I286">
        <v>12650</v>
      </c>
      <c r="J286">
        <v>5170</v>
      </c>
    </row>
    <row r="287" spans="1:10" x14ac:dyDescent="0.3">
      <c r="A287" s="2" t="s">
        <v>327</v>
      </c>
      <c r="B287" s="3">
        <v>45728</v>
      </c>
      <c r="C287" s="2" t="s">
        <v>14</v>
      </c>
      <c r="D287" s="2" t="s">
        <v>32</v>
      </c>
      <c r="E287" s="2" t="s">
        <v>55</v>
      </c>
      <c r="F287">
        <v>8</v>
      </c>
      <c r="G287">
        <v>5800</v>
      </c>
      <c r="H287">
        <v>46400</v>
      </c>
      <c r="I287">
        <v>33600</v>
      </c>
      <c r="J287">
        <v>12800</v>
      </c>
    </row>
    <row r="288" spans="1:10" x14ac:dyDescent="0.3">
      <c r="A288" s="2" t="s">
        <v>328</v>
      </c>
      <c r="B288" s="3">
        <v>45744</v>
      </c>
      <c r="C288" s="2" t="s">
        <v>14</v>
      </c>
      <c r="D288" s="2" t="s">
        <v>18</v>
      </c>
      <c r="E288" s="2" t="s">
        <v>82</v>
      </c>
      <c r="F288">
        <v>1</v>
      </c>
      <c r="G288">
        <v>220</v>
      </c>
      <c r="H288">
        <v>220</v>
      </c>
      <c r="I288">
        <v>120</v>
      </c>
      <c r="J288">
        <v>100</v>
      </c>
    </row>
    <row r="289" spans="1:10" x14ac:dyDescent="0.3">
      <c r="A289" s="2" t="s">
        <v>329</v>
      </c>
      <c r="B289" s="3">
        <v>45744</v>
      </c>
      <c r="C289" s="2" t="s">
        <v>21</v>
      </c>
      <c r="D289" s="2" t="s">
        <v>22</v>
      </c>
      <c r="E289" s="2" t="s">
        <v>40</v>
      </c>
      <c r="F289">
        <v>5</v>
      </c>
      <c r="G289">
        <v>900</v>
      </c>
      <c r="H289">
        <v>4500</v>
      </c>
      <c r="I289">
        <v>2600</v>
      </c>
      <c r="J289">
        <v>1900</v>
      </c>
    </row>
    <row r="290" spans="1:10" x14ac:dyDescent="0.3">
      <c r="A290" s="2" t="s">
        <v>330</v>
      </c>
      <c r="B290" s="3">
        <v>45856</v>
      </c>
      <c r="C290" s="2" t="s">
        <v>42</v>
      </c>
      <c r="D290" s="2" t="s">
        <v>18</v>
      </c>
      <c r="E290" s="2" t="s">
        <v>65</v>
      </c>
      <c r="F290">
        <v>2</v>
      </c>
      <c r="G290">
        <v>320</v>
      </c>
      <c r="H290">
        <v>640</v>
      </c>
      <c r="I290">
        <v>420</v>
      </c>
      <c r="J290">
        <v>220</v>
      </c>
    </row>
    <row r="291" spans="1:10" x14ac:dyDescent="0.3">
      <c r="A291" s="2" t="s">
        <v>331</v>
      </c>
      <c r="B291" s="3">
        <v>45777</v>
      </c>
      <c r="C291" s="2" t="s">
        <v>37</v>
      </c>
      <c r="D291" s="2" t="s">
        <v>18</v>
      </c>
      <c r="E291" s="2" t="s">
        <v>52</v>
      </c>
      <c r="F291">
        <v>5</v>
      </c>
      <c r="G291">
        <v>150</v>
      </c>
      <c r="H291">
        <v>750</v>
      </c>
      <c r="I291">
        <v>325</v>
      </c>
      <c r="J291">
        <v>425</v>
      </c>
    </row>
    <row r="292" spans="1:10" x14ac:dyDescent="0.3">
      <c r="A292" s="2" t="s">
        <v>332</v>
      </c>
      <c r="B292" s="3">
        <v>45731</v>
      </c>
      <c r="C292" s="2" t="s">
        <v>42</v>
      </c>
      <c r="D292" s="2" t="s">
        <v>22</v>
      </c>
      <c r="E292" s="2" t="s">
        <v>28</v>
      </c>
      <c r="F292">
        <v>4</v>
      </c>
      <c r="G292">
        <v>650</v>
      </c>
      <c r="H292">
        <v>2600</v>
      </c>
      <c r="I292">
        <v>1520</v>
      </c>
      <c r="J292">
        <v>1080</v>
      </c>
    </row>
    <row r="293" spans="1:10" x14ac:dyDescent="0.3">
      <c r="A293" s="2" t="s">
        <v>333</v>
      </c>
      <c r="B293" s="3">
        <v>45916</v>
      </c>
      <c r="C293" s="2" t="s">
        <v>37</v>
      </c>
      <c r="D293" s="2" t="s">
        <v>22</v>
      </c>
      <c r="E293" s="2" t="s">
        <v>45</v>
      </c>
      <c r="F293">
        <v>12</v>
      </c>
      <c r="G293">
        <v>1200</v>
      </c>
      <c r="H293">
        <v>14400</v>
      </c>
      <c r="I293">
        <v>8640</v>
      </c>
      <c r="J293">
        <v>5760</v>
      </c>
    </row>
    <row r="294" spans="1:10" x14ac:dyDescent="0.3">
      <c r="A294" s="2" t="s">
        <v>334</v>
      </c>
      <c r="B294" s="3">
        <v>45753</v>
      </c>
      <c r="C294" s="2" t="s">
        <v>37</v>
      </c>
      <c r="D294" s="2" t="s">
        <v>22</v>
      </c>
      <c r="E294" s="2" t="s">
        <v>45</v>
      </c>
      <c r="F294">
        <v>2</v>
      </c>
      <c r="G294">
        <v>1140</v>
      </c>
      <c r="H294">
        <v>2280</v>
      </c>
      <c r="I294">
        <v>1440</v>
      </c>
      <c r="J294">
        <v>840</v>
      </c>
    </row>
    <row r="295" spans="1:10" x14ac:dyDescent="0.3">
      <c r="A295" s="2" t="s">
        <v>335</v>
      </c>
      <c r="B295" s="3">
        <v>45844</v>
      </c>
      <c r="C295" s="2" t="s">
        <v>42</v>
      </c>
      <c r="D295" s="2" t="s">
        <v>18</v>
      </c>
      <c r="E295" s="2" t="s">
        <v>82</v>
      </c>
      <c r="F295">
        <v>1</v>
      </c>
      <c r="G295">
        <v>220</v>
      </c>
      <c r="H295">
        <v>220</v>
      </c>
      <c r="I295">
        <v>120</v>
      </c>
      <c r="J295">
        <v>100</v>
      </c>
    </row>
    <row r="296" spans="1:10" x14ac:dyDescent="0.3">
      <c r="A296" s="2" t="s">
        <v>336</v>
      </c>
      <c r="B296" s="3">
        <v>45773</v>
      </c>
      <c r="C296" s="2" t="s">
        <v>14</v>
      </c>
      <c r="D296" s="2" t="s">
        <v>22</v>
      </c>
      <c r="E296" s="2" t="s">
        <v>45</v>
      </c>
      <c r="F296">
        <v>8</v>
      </c>
      <c r="G296">
        <v>1200</v>
      </c>
      <c r="H296">
        <v>9600</v>
      </c>
      <c r="I296">
        <v>5760</v>
      </c>
      <c r="J296">
        <v>3840</v>
      </c>
    </row>
    <row r="297" spans="1:10" x14ac:dyDescent="0.3">
      <c r="A297" s="2" t="s">
        <v>337</v>
      </c>
      <c r="B297" s="3">
        <v>45675</v>
      </c>
      <c r="C297" s="2" t="s">
        <v>25</v>
      </c>
      <c r="D297" s="2" t="s">
        <v>15</v>
      </c>
      <c r="E297" s="2" t="s">
        <v>49</v>
      </c>
      <c r="F297">
        <v>9</v>
      </c>
      <c r="G297">
        <v>550</v>
      </c>
      <c r="H297">
        <v>4950</v>
      </c>
      <c r="I297">
        <v>2700</v>
      </c>
      <c r="J297">
        <v>2250</v>
      </c>
    </row>
    <row r="298" spans="1:10" x14ac:dyDescent="0.3">
      <c r="A298" s="2" t="s">
        <v>338</v>
      </c>
      <c r="B298" s="3">
        <v>45847</v>
      </c>
      <c r="C298" s="2" t="s">
        <v>21</v>
      </c>
      <c r="D298" s="2" t="s">
        <v>18</v>
      </c>
      <c r="E298" s="2" t="s">
        <v>19</v>
      </c>
      <c r="F298">
        <v>4</v>
      </c>
      <c r="G298">
        <v>237.5</v>
      </c>
      <c r="H298">
        <v>950</v>
      </c>
      <c r="I298">
        <v>520</v>
      </c>
      <c r="J298">
        <v>430</v>
      </c>
    </row>
    <row r="299" spans="1:10" x14ac:dyDescent="0.3">
      <c r="A299" s="2" t="s">
        <v>339</v>
      </c>
      <c r="B299" s="3">
        <v>45958</v>
      </c>
      <c r="C299" s="2" t="s">
        <v>25</v>
      </c>
      <c r="D299" s="2" t="s">
        <v>22</v>
      </c>
      <c r="E299" s="2" t="s">
        <v>28</v>
      </c>
      <c r="F299">
        <v>12</v>
      </c>
      <c r="G299">
        <v>650</v>
      </c>
      <c r="H299">
        <v>7800</v>
      </c>
      <c r="I299">
        <v>4560</v>
      </c>
      <c r="J299">
        <v>3240</v>
      </c>
    </row>
    <row r="300" spans="1:10" x14ac:dyDescent="0.3">
      <c r="A300" s="2" t="s">
        <v>340</v>
      </c>
      <c r="B300" s="3">
        <v>46002</v>
      </c>
      <c r="C300" s="2" t="s">
        <v>25</v>
      </c>
      <c r="D300" s="2" t="s">
        <v>15</v>
      </c>
      <c r="E300" s="2" t="s">
        <v>43</v>
      </c>
      <c r="F300">
        <v>8</v>
      </c>
      <c r="G300">
        <v>700</v>
      </c>
      <c r="H300">
        <v>5600</v>
      </c>
      <c r="I300">
        <v>3280</v>
      </c>
      <c r="J300">
        <v>2320</v>
      </c>
    </row>
    <row r="301" spans="1:10" x14ac:dyDescent="0.3">
      <c r="A301" s="2" t="s">
        <v>341</v>
      </c>
      <c r="B301" s="3">
        <v>45734</v>
      </c>
      <c r="C301" s="2" t="s">
        <v>37</v>
      </c>
      <c r="D301" s="2" t="s">
        <v>32</v>
      </c>
      <c r="E301" s="2" t="s">
        <v>55</v>
      </c>
      <c r="F301">
        <v>2</v>
      </c>
      <c r="G301">
        <v>5510</v>
      </c>
      <c r="H301">
        <v>11020</v>
      </c>
      <c r="I301">
        <v>8400</v>
      </c>
      <c r="J301">
        <v>2620</v>
      </c>
    </row>
    <row r="302" spans="1:10" x14ac:dyDescent="0.3">
      <c r="A302" s="2" t="s">
        <v>342</v>
      </c>
      <c r="B302" s="3">
        <v>45861</v>
      </c>
      <c r="C302" s="2" t="s">
        <v>21</v>
      </c>
      <c r="D302" s="2" t="s">
        <v>18</v>
      </c>
      <c r="E302" s="2" t="s">
        <v>19</v>
      </c>
      <c r="F302">
        <v>11</v>
      </c>
      <c r="G302">
        <v>237.5</v>
      </c>
      <c r="H302">
        <v>2612.5</v>
      </c>
      <c r="I302">
        <v>1430</v>
      </c>
      <c r="J302">
        <v>1182.5</v>
      </c>
    </row>
    <row r="303" spans="1:10" x14ac:dyDescent="0.3">
      <c r="A303" s="2" t="s">
        <v>343</v>
      </c>
      <c r="B303" s="3">
        <v>45987</v>
      </c>
      <c r="C303" s="2" t="s">
        <v>14</v>
      </c>
      <c r="D303" s="2" t="s">
        <v>18</v>
      </c>
      <c r="E303" s="2" t="s">
        <v>82</v>
      </c>
      <c r="F303">
        <v>3</v>
      </c>
      <c r="G303">
        <v>220</v>
      </c>
      <c r="H303">
        <v>660</v>
      </c>
      <c r="I303">
        <v>360</v>
      </c>
      <c r="J303">
        <v>300</v>
      </c>
    </row>
    <row r="304" spans="1:10" x14ac:dyDescent="0.3">
      <c r="A304" s="2" t="s">
        <v>344</v>
      </c>
      <c r="B304" s="3">
        <v>45740</v>
      </c>
      <c r="C304" s="2" t="s">
        <v>25</v>
      </c>
      <c r="D304" s="2" t="s">
        <v>18</v>
      </c>
      <c r="E304" s="2" t="s">
        <v>26</v>
      </c>
      <c r="F304">
        <v>2</v>
      </c>
      <c r="G304">
        <v>180</v>
      </c>
      <c r="H304">
        <v>360</v>
      </c>
      <c r="I304">
        <v>160</v>
      </c>
      <c r="J304">
        <v>200</v>
      </c>
    </row>
    <row r="305" spans="1:10" x14ac:dyDescent="0.3">
      <c r="A305" s="2" t="s">
        <v>345</v>
      </c>
      <c r="B305" s="3">
        <v>45899</v>
      </c>
      <c r="C305" s="2" t="s">
        <v>37</v>
      </c>
      <c r="D305" s="2" t="s">
        <v>18</v>
      </c>
      <c r="E305" s="2" t="s">
        <v>52</v>
      </c>
      <c r="F305">
        <v>1</v>
      </c>
      <c r="G305">
        <v>135</v>
      </c>
      <c r="H305">
        <v>135</v>
      </c>
      <c r="I305">
        <v>65</v>
      </c>
      <c r="J305">
        <v>70</v>
      </c>
    </row>
    <row r="306" spans="1:10" x14ac:dyDescent="0.3">
      <c r="A306" s="2" t="s">
        <v>346</v>
      </c>
      <c r="B306" s="3">
        <v>45658</v>
      </c>
      <c r="C306" s="2" t="s">
        <v>37</v>
      </c>
      <c r="D306" s="2" t="s">
        <v>22</v>
      </c>
      <c r="E306" s="2" t="s">
        <v>97</v>
      </c>
      <c r="F306">
        <v>1</v>
      </c>
      <c r="G306">
        <v>1800</v>
      </c>
      <c r="H306">
        <v>1800</v>
      </c>
      <c r="I306">
        <v>1150</v>
      </c>
      <c r="J306">
        <v>650</v>
      </c>
    </row>
    <row r="307" spans="1:10" x14ac:dyDescent="0.3">
      <c r="A307" s="2" t="s">
        <v>347</v>
      </c>
      <c r="B307" s="3">
        <v>46012</v>
      </c>
      <c r="C307" s="2" t="s">
        <v>25</v>
      </c>
      <c r="D307" s="2" t="s">
        <v>22</v>
      </c>
      <c r="E307" s="2" t="s">
        <v>40</v>
      </c>
      <c r="F307">
        <v>2</v>
      </c>
      <c r="G307">
        <v>900</v>
      </c>
      <c r="H307">
        <v>1800</v>
      </c>
      <c r="I307">
        <v>1040</v>
      </c>
      <c r="J307">
        <v>760</v>
      </c>
    </row>
    <row r="308" spans="1:10" x14ac:dyDescent="0.3">
      <c r="A308" s="2" t="s">
        <v>348</v>
      </c>
      <c r="B308" s="3">
        <v>45860</v>
      </c>
      <c r="C308" s="2" t="s">
        <v>37</v>
      </c>
      <c r="D308" s="2" t="s">
        <v>15</v>
      </c>
      <c r="E308" s="2" t="s">
        <v>49</v>
      </c>
      <c r="F308">
        <v>2</v>
      </c>
      <c r="G308">
        <v>522.5</v>
      </c>
      <c r="H308">
        <v>1045</v>
      </c>
      <c r="I308">
        <v>600</v>
      </c>
      <c r="J308">
        <v>445</v>
      </c>
    </row>
    <row r="309" spans="1:10" x14ac:dyDescent="0.3">
      <c r="A309" s="2" t="s">
        <v>349</v>
      </c>
      <c r="B309" s="3">
        <v>45726</v>
      </c>
      <c r="C309" s="2" t="s">
        <v>37</v>
      </c>
      <c r="D309" s="2" t="s">
        <v>32</v>
      </c>
      <c r="E309" s="2" t="s">
        <v>55</v>
      </c>
      <c r="F309">
        <v>12</v>
      </c>
      <c r="G309">
        <v>5800</v>
      </c>
      <c r="H309">
        <v>69600</v>
      </c>
      <c r="I309">
        <v>50400</v>
      </c>
      <c r="J309">
        <v>19200</v>
      </c>
    </row>
    <row r="310" spans="1:10" x14ac:dyDescent="0.3">
      <c r="A310" s="2" t="s">
        <v>350</v>
      </c>
      <c r="B310" s="3">
        <v>46014</v>
      </c>
      <c r="C310" s="2" t="s">
        <v>25</v>
      </c>
      <c r="D310" s="2" t="s">
        <v>15</v>
      </c>
      <c r="E310" s="2" t="s">
        <v>43</v>
      </c>
      <c r="F310">
        <v>10</v>
      </c>
      <c r="G310">
        <v>700</v>
      </c>
      <c r="H310">
        <v>7000</v>
      </c>
      <c r="I310">
        <v>4100</v>
      </c>
      <c r="J310">
        <v>2900</v>
      </c>
    </row>
    <row r="311" spans="1:10" x14ac:dyDescent="0.3">
      <c r="A311" s="2" t="s">
        <v>351</v>
      </c>
      <c r="B311" s="3">
        <v>45891</v>
      </c>
      <c r="C311" s="2" t="s">
        <v>21</v>
      </c>
      <c r="D311" s="2" t="s">
        <v>18</v>
      </c>
      <c r="E311" s="2" t="s">
        <v>82</v>
      </c>
      <c r="F311">
        <v>3</v>
      </c>
      <c r="G311">
        <v>209</v>
      </c>
      <c r="H311">
        <v>627</v>
      </c>
      <c r="I311">
        <v>360</v>
      </c>
      <c r="J311">
        <v>267</v>
      </c>
    </row>
    <row r="312" spans="1:10" x14ac:dyDescent="0.3">
      <c r="A312" s="2" t="s">
        <v>352</v>
      </c>
      <c r="B312" s="3">
        <v>45919</v>
      </c>
      <c r="C312" s="2" t="s">
        <v>42</v>
      </c>
      <c r="D312" s="2" t="s">
        <v>22</v>
      </c>
      <c r="E312" s="2" t="s">
        <v>40</v>
      </c>
      <c r="F312">
        <v>12</v>
      </c>
      <c r="G312">
        <v>855</v>
      </c>
      <c r="H312">
        <v>10260</v>
      </c>
      <c r="I312">
        <v>6240</v>
      </c>
      <c r="J312">
        <v>4020</v>
      </c>
    </row>
    <row r="313" spans="1:10" x14ac:dyDescent="0.3">
      <c r="A313" s="2" t="s">
        <v>353</v>
      </c>
      <c r="B313" s="3">
        <v>45882</v>
      </c>
      <c r="C313" s="2" t="s">
        <v>25</v>
      </c>
      <c r="D313" s="2" t="s">
        <v>18</v>
      </c>
      <c r="E313" s="2" t="s">
        <v>52</v>
      </c>
      <c r="F313">
        <v>10</v>
      </c>
      <c r="G313">
        <v>150</v>
      </c>
      <c r="H313">
        <v>1500</v>
      </c>
      <c r="I313">
        <v>650</v>
      </c>
      <c r="J313">
        <v>850</v>
      </c>
    </row>
    <row r="314" spans="1:10" x14ac:dyDescent="0.3">
      <c r="A314" s="2" t="s">
        <v>354</v>
      </c>
      <c r="B314" s="3">
        <v>45844</v>
      </c>
      <c r="C314" s="2" t="s">
        <v>14</v>
      </c>
      <c r="D314" s="2" t="s">
        <v>15</v>
      </c>
      <c r="E314" s="2" t="s">
        <v>38</v>
      </c>
      <c r="F314">
        <v>8</v>
      </c>
      <c r="G314">
        <v>540</v>
      </c>
      <c r="H314">
        <v>4320</v>
      </c>
      <c r="I314">
        <v>2640</v>
      </c>
      <c r="J314">
        <v>1680</v>
      </c>
    </row>
    <row r="315" spans="1:10" x14ac:dyDescent="0.3">
      <c r="A315" s="2" t="s">
        <v>355</v>
      </c>
      <c r="B315" s="3">
        <v>45732</v>
      </c>
      <c r="C315" s="2" t="s">
        <v>25</v>
      </c>
      <c r="D315" s="2" t="s">
        <v>22</v>
      </c>
      <c r="E315" s="2" t="s">
        <v>45</v>
      </c>
      <c r="F315">
        <v>11</v>
      </c>
      <c r="G315">
        <v>1200</v>
      </c>
      <c r="H315">
        <v>13200</v>
      </c>
      <c r="I315">
        <v>7920</v>
      </c>
      <c r="J315">
        <v>5280</v>
      </c>
    </row>
    <row r="316" spans="1:10" x14ac:dyDescent="0.3">
      <c r="A316" s="2" t="s">
        <v>356</v>
      </c>
      <c r="B316" s="3">
        <v>45999</v>
      </c>
      <c r="C316" s="2" t="s">
        <v>21</v>
      </c>
      <c r="D316" s="2" t="s">
        <v>22</v>
      </c>
      <c r="E316" s="2" t="s">
        <v>40</v>
      </c>
      <c r="F316">
        <v>11</v>
      </c>
      <c r="G316">
        <v>810</v>
      </c>
      <c r="H316">
        <v>8910</v>
      </c>
      <c r="I316">
        <v>5720</v>
      </c>
      <c r="J316">
        <v>3190</v>
      </c>
    </row>
    <row r="317" spans="1:10" x14ac:dyDescent="0.3">
      <c r="A317" s="2" t="s">
        <v>357</v>
      </c>
      <c r="B317" s="3">
        <v>45862</v>
      </c>
      <c r="C317" s="2" t="s">
        <v>42</v>
      </c>
      <c r="D317" s="2" t="s">
        <v>15</v>
      </c>
      <c r="E317" s="2" t="s">
        <v>16</v>
      </c>
      <c r="F317">
        <v>1</v>
      </c>
      <c r="G317">
        <v>450</v>
      </c>
      <c r="H317">
        <v>450</v>
      </c>
      <c r="I317">
        <v>240</v>
      </c>
      <c r="J317">
        <v>210</v>
      </c>
    </row>
    <row r="318" spans="1:10" x14ac:dyDescent="0.3">
      <c r="A318" s="2" t="s">
        <v>358</v>
      </c>
      <c r="B318" s="3">
        <v>45684</v>
      </c>
      <c r="C318" s="2" t="s">
        <v>37</v>
      </c>
      <c r="D318" s="2" t="s">
        <v>22</v>
      </c>
      <c r="E318" s="2" t="s">
        <v>28</v>
      </c>
      <c r="F318">
        <v>5</v>
      </c>
      <c r="G318">
        <v>650</v>
      </c>
      <c r="H318">
        <v>3250</v>
      </c>
      <c r="I318">
        <v>1900</v>
      </c>
      <c r="J318">
        <v>1350</v>
      </c>
    </row>
    <row r="319" spans="1:10" x14ac:dyDescent="0.3">
      <c r="A319" s="2" t="s">
        <v>359</v>
      </c>
      <c r="B319" s="3">
        <v>45783</v>
      </c>
      <c r="C319" s="2" t="s">
        <v>25</v>
      </c>
      <c r="D319" s="2" t="s">
        <v>22</v>
      </c>
      <c r="E319" s="2" t="s">
        <v>40</v>
      </c>
      <c r="F319">
        <v>7</v>
      </c>
      <c r="G319">
        <v>900</v>
      </c>
      <c r="H319">
        <v>6300</v>
      </c>
      <c r="I319">
        <v>3640</v>
      </c>
      <c r="J319">
        <v>2660</v>
      </c>
    </row>
    <row r="320" spans="1:10" x14ac:dyDescent="0.3">
      <c r="A320" s="2" t="s">
        <v>360</v>
      </c>
      <c r="B320" s="3">
        <v>45934</v>
      </c>
      <c r="C320" s="2" t="s">
        <v>14</v>
      </c>
      <c r="D320" s="2" t="s">
        <v>22</v>
      </c>
      <c r="E320" s="2" t="s">
        <v>40</v>
      </c>
      <c r="F320">
        <v>8</v>
      </c>
      <c r="G320">
        <v>855</v>
      </c>
      <c r="H320">
        <v>6840</v>
      </c>
      <c r="I320">
        <v>4160</v>
      </c>
      <c r="J320">
        <v>2680</v>
      </c>
    </row>
    <row r="321" spans="1:10" x14ac:dyDescent="0.3">
      <c r="A321" s="2" t="s">
        <v>361</v>
      </c>
      <c r="B321" s="3">
        <v>45994</v>
      </c>
      <c r="C321" s="2" t="s">
        <v>37</v>
      </c>
      <c r="D321" s="2" t="s">
        <v>22</v>
      </c>
      <c r="E321" s="2" t="s">
        <v>45</v>
      </c>
      <c r="F321">
        <v>8</v>
      </c>
      <c r="G321">
        <v>1140</v>
      </c>
      <c r="H321">
        <v>9120</v>
      </c>
      <c r="I321">
        <v>5760</v>
      </c>
      <c r="J321">
        <v>3360</v>
      </c>
    </row>
    <row r="322" spans="1:10" x14ac:dyDescent="0.3">
      <c r="A322" s="2" t="s">
        <v>362</v>
      </c>
      <c r="B322" s="3">
        <v>45899</v>
      </c>
      <c r="C322" s="2" t="s">
        <v>37</v>
      </c>
      <c r="D322" s="2" t="s">
        <v>18</v>
      </c>
      <c r="E322" s="2" t="s">
        <v>26</v>
      </c>
      <c r="F322">
        <v>10</v>
      </c>
      <c r="G322">
        <v>162</v>
      </c>
      <c r="H322">
        <v>1620</v>
      </c>
      <c r="I322">
        <v>800</v>
      </c>
      <c r="J322">
        <v>820</v>
      </c>
    </row>
    <row r="323" spans="1:10" x14ac:dyDescent="0.3">
      <c r="A323" s="2" t="s">
        <v>363</v>
      </c>
      <c r="B323" s="3">
        <v>45776</v>
      </c>
      <c r="C323" s="2" t="s">
        <v>25</v>
      </c>
      <c r="D323" s="2" t="s">
        <v>22</v>
      </c>
      <c r="E323" s="2" t="s">
        <v>40</v>
      </c>
      <c r="F323">
        <v>4</v>
      </c>
      <c r="G323">
        <v>810</v>
      </c>
      <c r="H323">
        <v>3240</v>
      </c>
      <c r="I323">
        <v>2080</v>
      </c>
      <c r="J323">
        <v>1160</v>
      </c>
    </row>
    <row r="324" spans="1:10" x14ac:dyDescent="0.3">
      <c r="A324" s="2" t="s">
        <v>364</v>
      </c>
      <c r="B324" s="3">
        <v>45741</v>
      </c>
      <c r="C324" s="2" t="s">
        <v>25</v>
      </c>
      <c r="D324" s="2" t="s">
        <v>15</v>
      </c>
      <c r="E324" s="2" t="s">
        <v>38</v>
      </c>
      <c r="F324">
        <v>7</v>
      </c>
      <c r="G324">
        <v>570</v>
      </c>
      <c r="H324">
        <v>3990</v>
      </c>
      <c r="I324">
        <v>2310</v>
      </c>
      <c r="J324">
        <v>1680</v>
      </c>
    </row>
    <row r="325" spans="1:10" x14ac:dyDescent="0.3">
      <c r="A325" s="2" t="s">
        <v>365</v>
      </c>
      <c r="B325" s="3">
        <v>45984</v>
      </c>
      <c r="C325" s="2" t="s">
        <v>21</v>
      </c>
      <c r="D325" s="2" t="s">
        <v>22</v>
      </c>
      <c r="E325" s="2" t="s">
        <v>45</v>
      </c>
      <c r="F325">
        <v>4</v>
      </c>
      <c r="G325">
        <v>1140</v>
      </c>
      <c r="H325">
        <v>4560</v>
      </c>
      <c r="I325">
        <v>2880</v>
      </c>
      <c r="J325">
        <v>1680</v>
      </c>
    </row>
    <row r="326" spans="1:10" x14ac:dyDescent="0.3">
      <c r="A326" s="2" t="s">
        <v>366</v>
      </c>
      <c r="B326" s="3">
        <v>45871</v>
      </c>
      <c r="C326" s="2" t="s">
        <v>21</v>
      </c>
      <c r="D326" s="2" t="s">
        <v>18</v>
      </c>
      <c r="E326" s="2" t="s">
        <v>19</v>
      </c>
      <c r="F326">
        <v>10</v>
      </c>
      <c r="G326">
        <v>250</v>
      </c>
      <c r="H326">
        <v>2500</v>
      </c>
      <c r="I326">
        <v>1300</v>
      </c>
      <c r="J326">
        <v>1200</v>
      </c>
    </row>
    <row r="327" spans="1:10" x14ac:dyDescent="0.3">
      <c r="A327" s="2" t="s">
        <v>367</v>
      </c>
      <c r="B327" s="3">
        <v>46022</v>
      </c>
      <c r="C327" s="2" t="s">
        <v>42</v>
      </c>
      <c r="D327" s="2" t="s">
        <v>32</v>
      </c>
      <c r="E327" s="2" t="s">
        <v>33</v>
      </c>
      <c r="F327">
        <v>3</v>
      </c>
      <c r="G327">
        <v>5580</v>
      </c>
      <c r="H327">
        <v>16740</v>
      </c>
      <c r="I327">
        <v>13500</v>
      </c>
      <c r="J327">
        <v>3240</v>
      </c>
    </row>
    <row r="328" spans="1:10" x14ac:dyDescent="0.3">
      <c r="A328" s="2" t="s">
        <v>368</v>
      </c>
      <c r="B328" s="3">
        <v>45961</v>
      </c>
      <c r="C328" s="2" t="s">
        <v>42</v>
      </c>
      <c r="D328" s="2" t="s">
        <v>32</v>
      </c>
      <c r="E328" s="2" t="s">
        <v>55</v>
      </c>
      <c r="F328">
        <v>10</v>
      </c>
      <c r="G328">
        <v>5800</v>
      </c>
      <c r="H328">
        <v>58000</v>
      </c>
      <c r="I328">
        <v>42000</v>
      </c>
      <c r="J328">
        <v>16000</v>
      </c>
    </row>
    <row r="329" spans="1:10" x14ac:dyDescent="0.3">
      <c r="A329" s="2" t="s">
        <v>369</v>
      </c>
      <c r="B329" s="3">
        <v>45779</v>
      </c>
      <c r="C329" s="2" t="s">
        <v>21</v>
      </c>
      <c r="D329" s="2" t="s">
        <v>18</v>
      </c>
      <c r="E329" s="2" t="s">
        <v>19</v>
      </c>
      <c r="F329">
        <v>3</v>
      </c>
      <c r="G329">
        <v>225</v>
      </c>
      <c r="H329">
        <v>675</v>
      </c>
      <c r="I329">
        <v>390</v>
      </c>
      <c r="J329">
        <v>285</v>
      </c>
    </row>
    <row r="330" spans="1:10" x14ac:dyDescent="0.3">
      <c r="A330" s="2" t="s">
        <v>370</v>
      </c>
      <c r="B330" s="3">
        <v>45809</v>
      </c>
      <c r="C330" s="2" t="s">
        <v>42</v>
      </c>
      <c r="D330" s="2" t="s">
        <v>22</v>
      </c>
      <c r="E330" s="2" t="s">
        <v>40</v>
      </c>
      <c r="F330">
        <v>2</v>
      </c>
      <c r="G330">
        <v>810</v>
      </c>
      <c r="H330">
        <v>1620</v>
      </c>
      <c r="I330">
        <v>1040</v>
      </c>
      <c r="J330">
        <v>580</v>
      </c>
    </row>
    <row r="331" spans="1:10" x14ac:dyDescent="0.3">
      <c r="A331" s="2" t="s">
        <v>371</v>
      </c>
      <c r="B331" s="3">
        <v>45977</v>
      </c>
      <c r="C331" s="2" t="s">
        <v>25</v>
      </c>
      <c r="D331" s="2" t="s">
        <v>18</v>
      </c>
      <c r="E331" s="2" t="s">
        <v>65</v>
      </c>
      <c r="F331">
        <v>8</v>
      </c>
      <c r="G331">
        <v>304</v>
      </c>
      <c r="H331">
        <v>2432</v>
      </c>
      <c r="I331">
        <v>1680</v>
      </c>
      <c r="J331">
        <v>752</v>
      </c>
    </row>
    <row r="332" spans="1:10" x14ac:dyDescent="0.3">
      <c r="A332" s="2" t="s">
        <v>372</v>
      </c>
      <c r="B332" s="3">
        <v>45933</v>
      </c>
      <c r="C332" s="2" t="s">
        <v>37</v>
      </c>
      <c r="D332" s="2" t="s">
        <v>15</v>
      </c>
      <c r="E332" s="2" t="s">
        <v>16</v>
      </c>
      <c r="F332">
        <v>12</v>
      </c>
      <c r="G332">
        <v>427.5</v>
      </c>
      <c r="H332">
        <v>5130</v>
      </c>
      <c r="I332">
        <v>2880</v>
      </c>
      <c r="J332">
        <v>2250</v>
      </c>
    </row>
    <row r="333" spans="1:10" x14ac:dyDescent="0.3">
      <c r="A333" s="2" t="s">
        <v>373</v>
      </c>
      <c r="B333" s="3">
        <v>45842</v>
      </c>
      <c r="C333" s="2" t="s">
        <v>37</v>
      </c>
      <c r="D333" s="2" t="s">
        <v>18</v>
      </c>
      <c r="E333" s="2" t="s">
        <v>52</v>
      </c>
      <c r="F333">
        <v>4</v>
      </c>
      <c r="G333">
        <v>142.5</v>
      </c>
      <c r="H333">
        <v>570</v>
      </c>
      <c r="I333">
        <v>260</v>
      </c>
      <c r="J333">
        <v>310</v>
      </c>
    </row>
    <row r="334" spans="1:10" x14ac:dyDescent="0.3">
      <c r="A334" s="2" t="s">
        <v>374</v>
      </c>
      <c r="B334" s="3">
        <v>45798</v>
      </c>
      <c r="C334" s="2" t="s">
        <v>21</v>
      </c>
      <c r="D334" s="2" t="s">
        <v>18</v>
      </c>
      <c r="E334" s="2" t="s">
        <v>52</v>
      </c>
      <c r="F334">
        <v>3</v>
      </c>
      <c r="G334">
        <v>150</v>
      </c>
      <c r="H334">
        <v>450</v>
      </c>
      <c r="I334">
        <v>195</v>
      </c>
      <c r="J334">
        <v>255</v>
      </c>
    </row>
    <row r="335" spans="1:10" x14ac:dyDescent="0.3">
      <c r="A335" s="2" t="s">
        <v>375</v>
      </c>
      <c r="B335" s="3">
        <v>45797</v>
      </c>
      <c r="C335" s="2" t="s">
        <v>42</v>
      </c>
      <c r="D335" s="2" t="s">
        <v>18</v>
      </c>
      <c r="E335" s="2" t="s">
        <v>26</v>
      </c>
      <c r="F335">
        <v>8</v>
      </c>
      <c r="G335">
        <v>180</v>
      </c>
      <c r="H335">
        <v>1440</v>
      </c>
      <c r="I335">
        <v>640</v>
      </c>
      <c r="J335">
        <v>800</v>
      </c>
    </row>
    <row r="336" spans="1:10" x14ac:dyDescent="0.3">
      <c r="A336" s="2" t="s">
        <v>376</v>
      </c>
      <c r="B336" s="3">
        <v>45832</v>
      </c>
      <c r="C336" s="2" t="s">
        <v>42</v>
      </c>
      <c r="D336" s="2" t="s">
        <v>15</v>
      </c>
      <c r="E336" s="2" t="s">
        <v>72</v>
      </c>
      <c r="F336">
        <v>6</v>
      </c>
      <c r="G336">
        <v>1300</v>
      </c>
      <c r="H336">
        <v>7800</v>
      </c>
      <c r="I336">
        <v>4920</v>
      </c>
      <c r="J336">
        <v>2880</v>
      </c>
    </row>
    <row r="337" spans="1:10" x14ac:dyDescent="0.3">
      <c r="A337" s="2" t="s">
        <v>377</v>
      </c>
      <c r="B337" s="3">
        <v>45913</v>
      </c>
      <c r="C337" s="2" t="s">
        <v>21</v>
      </c>
      <c r="D337" s="2" t="s">
        <v>15</v>
      </c>
      <c r="E337" s="2" t="s">
        <v>38</v>
      </c>
      <c r="F337">
        <v>4</v>
      </c>
      <c r="G337">
        <v>600</v>
      </c>
      <c r="H337">
        <v>2400</v>
      </c>
      <c r="I337">
        <v>1320</v>
      </c>
      <c r="J337">
        <v>1080</v>
      </c>
    </row>
    <row r="338" spans="1:10" x14ac:dyDescent="0.3">
      <c r="A338" s="2" t="s">
        <v>378</v>
      </c>
      <c r="B338" s="3">
        <v>45884</v>
      </c>
      <c r="C338" s="2" t="s">
        <v>37</v>
      </c>
      <c r="D338" s="2" t="s">
        <v>22</v>
      </c>
      <c r="E338" s="2" t="s">
        <v>23</v>
      </c>
      <c r="F338">
        <v>2</v>
      </c>
      <c r="G338">
        <v>9500</v>
      </c>
      <c r="H338">
        <v>19000</v>
      </c>
      <c r="I338">
        <v>15200</v>
      </c>
      <c r="J338">
        <v>3800</v>
      </c>
    </row>
    <row r="339" spans="1:10" x14ac:dyDescent="0.3">
      <c r="A339" s="2" t="s">
        <v>379</v>
      </c>
      <c r="B339" s="3">
        <v>45878</v>
      </c>
      <c r="C339" s="2" t="s">
        <v>42</v>
      </c>
      <c r="D339" s="2" t="s">
        <v>22</v>
      </c>
      <c r="E339" s="2" t="s">
        <v>45</v>
      </c>
      <c r="F339">
        <v>10</v>
      </c>
      <c r="G339">
        <v>1200</v>
      </c>
      <c r="H339">
        <v>12000</v>
      </c>
      <c r="I339">
        <v>7200</v>
      </c>
      <c r="J339">
        <v>4800</v>
      </c>
    </row>
    <row r="340" spans="1:10" x14ac:dyDescent="0.3">
      <c r="A340" s="2" t="s">
        <v>380</v>
      </c>
      <c r="B340" s="3">
        <v>45662</v>
      </c>
      <c r="C340" s="2" t="s">
        <v>21</v>
      </c>
      <c r="D340" s="2" t="s">
        <v>18</v>
      </c>
      <c r="E340" s="2" t="s">
        <v>52</v>
      </c>
      <c r="F340">
        <v>4</v>
      </c>
      <c r="G340">
        <v>150</v>
      </c>
      <c r="H340">
        <v>600</v>
      </c>
      <c r="I340">
        <v>260</v>
      </c>
      <c r="J340">
        <v>340</v>
      </c>
    </row>
    <row r="341" spans="1:10" x14ac:dyDescent="0.3">
      <c r="A341" s="2" t="s">
        <v>381</v>
      </c>
      <c r="B341" s="3">
        <v>45710</v>
      </c>
      <c r="C341" s="2" t="s">
        <v>37</v>
      </c>
      <c r="D341" s="2" t="s">
        <v>22</v>
      </c>
      <c r="E341" s="2" t="s">
        <v>45</v>
      </c>
      <c r="F341">
        <v>10</v>
      </c>
      <c r="G341">
        <v>1140</v>
      </c>
      <c r="H341">
        <v>11400</v>
      </c>
      <c r="I341">
        <v>7200</v>
      </c>
      <c r="J341">
        <v>4200</v>
      </c>
    </row>
    <row r="342" spans="1:10" x14ac:dyDescent="0.3">
      <c r="A342" s="2" t="s">
        <v>382</v>
      </c>
      <c r="B342" s="3">
        <v>45728</v>
      </c>
      <c r="C342" s="2" t="s">
        <v>42</v>
      </c>
      <c r="D342" s="2" t="s">
        <v>15</v>
      </c>
      <c r="E342" s="2" t="s">
        <v>38</v>
      </c>
      <c r="F342">
        <v>1</v>
      </c>
      <c r="G342">
        <v>600</v>
      </c>
      <c r="H342">
        <v>600</v>
      </c>
      <c r="I342">
        <v>330</v>
      </c>
      <c r="J342">
        <v>270</v>
      </c>
    </row>
    <row r="343" spans="1:10" x14ac:dyDescent="0.3">
      <c r="A343" s="2" t="s">
        <v>383</v>
      </c>
      <c r="B343" s="3">
        <v>45938</v>
      </c>
      <c r="C343" s="2" t="s">
        <v>21</v>
      </c>
      <c r="D343" s="2" t="s">
        <v>22</v>
      </c>
      <c r="E343" s="2" t="s">
        <v>97</v>
      </c>
      <c r="F343">
        <v>7</v>
      </c>
      <c r="G343">
        <v>1800</v>
      </c>
      <c r="H343">
        <v>12600</v>
      </c>
      <c r="I343">
        <v>8050</v>
      </c>
      <c r="J343">
        <v>4550</v>
      </c>
    </row>
    <row r="344" spans="1:10" x14ac:dyDescent="0.3">
      <c r="A344" s="2" t="s">
        <v>384</v>
      </c>
      <c r="B344" s="3">
        <v>45827</v>
      </c>
      <c r="C344" s="2" t="s">
        <v>25</v>
      </c>
      <c r="D344" s="2" t="s">
        <v>22</v>
      </c>
      <c r="E344" s="2" t="s">
        <v>45</v>
      </c>
      <c r="F344">
        <v>12</v>
      </c>
      <c r="G344">
        <v>1080</v>
      </c>
      <c r="H344">
        <v>12960</v>
      </c>
      <c r="I344">
        <v>8640</v>
      </c>
      <c r="J344">
        <v>4320</v>
      </c>
    </row>
    <row r="345" spans="1:10" x14ac:dyDescent="0.3">
      <c r="A345" s="2" t="s">
        <v>385</v>
      </c>
      <c r="B345" s="3">
        <v>45757</v>
      </c>
      <c r="C345" s="2" t="s">
        <v>21</v>
      </c>
      <c r="D345" s="2" t="s">
        <v>15</v>
      </c>
      <c r="E345" s="2" t="s">
        <v>16</v>
      </c>
      <c r="F345">
        <v>7</v>
      </c>
      <c r="G345">
        <v>427.5</v>
      </c>
      <c r="H345">
        <v>2992.5</v>
      </c>
      <c r="I345">
        <v>1680</v>
      </c>
      <c r="J345">
        <v>1312.5</v>
      </c>
    </row>
    <row r="346" spans="1:10" x14ac:dyDescent="0.3">
      <c r="A346" s="2" t="s">
        <v>386</v>
      </c>
      <c r="B346" s="3">
        <v>45726</v>
      </c>
      <c r="C346" s="2" t="s">
        <v>14</v>
      </c>
      <c r="D346" s="2" t="s">
        <v>32</v>
      </c>
      <c r="E346" s="2" t="s">
        <v>35</v>
      </c>
      <c r="F346">
        <v>10</v>
      </c>
      <c r="G346">
        <v>1100</v>
      </c>
      <c r="H346">
        <v>11000</v>
      </c>
      <c r="I346">
        <v>6200</v>
      </c>
      <c r="J346">
        <v>4800</v>
      </c>
    </row>
    <row r="347" spans="1:10" x14ac:dyDescent="0.3">
      <c r="A347" s="2" t="s">
        <v>387</v>
      </c>
      <c r="B347" s="3">
        <v>46003</v>
      </c>
      <c r="C347" s="2" t="s">
        <v>42</v>
      </c>
      <c r="D347" s="2" t="s">
        <v>22</v>
      </c>
      <c r="E347" s="2" t="s">
        <v>23</v>
      </c>
      <c r="F347">
        <v>9</v>
      </c>
      <c r="G347">
        <v>9025</v>
      </c>
      <c r="H347">
        <v>81225</v>
      </c>
      <c r="I347">
        <v>68400</v>
      </c>
      <c r="J347">
        <v>12825</v>
      </c>
    </row>
    <row r="348" spans="1:10" x14ac:dyDescent="0.3">
      <c r="A348" s="2" t="s">
        <v>388</v>
      </c>
      <c r="B348" s="3">
        <v>45933</v>
      </c>
      <c r="C348" s="2" t="s">
        <v>42</v>
      </c>
      <c r="D348" s="2" t="s">
        <v>15</v>
      </c>
      <c r="E348" s="2" t="s">
        <v>38</v>
      </c>
      <c r="F348">
        <v>1</v>
      </c>
      <c r="G348">
        <v>600</v>
      </c>
      <c r="H348">
        <v>600</v>
      </c>
      <c r="I348">
        <v>330</v>
      </c>
      <c r="J348">
        <v>270</v>
      </c>
    </row>
    <row r="349" spans="1:10" x14ac:dyDescent="0.3">
      <c r="A349" s="2" t="s">
        <v>389</v>
      </c>
      <c r="B349" s="3">
        <v>45963</v>
      </c>
      <c r="C349" s="2" t="s">
        <v>42</v>
      </c>
      <c r="D349" s="2" t="s">
        <v>22</v>
      </c>
      <c r="E349" s="2" t="s">
        <v>28</v>
      </c>
      <c r="F349">
        <v>7</v>
      </c>
      <c r="G349">
        <v>617.5</v>
      </c>
      <c r="H349">
        <v>4322.5</v>
      </c>
      <c r="I349">
        <v>2660</v>
      </c>
      <c r="J349">
        <v>1662.5</v>
      </c>
    </row>
    <row r="350" spans="1:10" x14ac:dyDescent="0.3">
      <c r="A350" s="2" t="s">
        <v>390</v>
      </c>
      <c r="B350" s="3">
        <v>45968</v>
      </c>
      <c r="C350" s="2" t="s">
        <v>21</v>
      </c>
      <c r="D350" s="2" t="s">
        <v>18</v>
      </c>
      <c r="E350" s="2" t="s">
        <v>82</v>
      </c>
      <c r="F350">
        <v>8</v>
      </c>
      <c r="G350">
        <v>220</v>
      </c>
      <c r="H350">
        <v>1760</v>
      </c>
      <c r="I350">
        <v>960</v>
      </c>
      <c r="J350">
        <v>800</v>
      </c>
    </row>
    <row r="351" spans="1:10" x14ac:dyDescent="0.3">
      <c r="A351" s="2" t="s">
        <v>391</v>
      </c>
      <c r="B351" s="3">
        <v>45750</v>
      </c>
      <c r="C351" s="2" t="s">
        <v>37</v>
      </c>
      <c r="D351" s="2" t="s">
        <v>22</v>
      </c>
      <c r="E351" s="2" t="s">
        <v>45</v>
      </c>
      <c r="F351">
        <v>8</v>
      </c>
      <c r="G351">
        <v>1200</v>
      </c>
      <c r="H351">
        <v>9600</v>
      </c>
      <c r="I351">
        <v>5760</v>
      </c>
      <c r="J351">
        <v>3840</v>
      </c>
    </row>
    <row r="352" spans="1:10" x14ac:dyDescent="0.3">
      <c r="A352" s="2" t="s">
        <v>392</v>
      </c>
      <c r="B352" s="3">
        <v>45667</v>
      </c>
      <c r="C352" s="2" t="s">
        <v>21</v>
      </c>
      <c r="D352" s="2" t="s">
        <v>15</v>
      </c>
      <c r="E352" s="2" t="s">
        <v>38</v>
      </c>
      <c r="F352">
        <v>2</v>
      </c>
      <c r="G352">
        <v>600</v>
      </c>
      <c r="H352">
        <v>1200</v>
      </c>
      <c r="I352">
        <v>660</v>
      </c>
      <c r="J352">
        <v>540</v>
      </c>
    </row>
    <row r="353" spans="1:10" x14ac:dyDescent="0.3">
      <c r="A353" s="2" t="s">
        <v>393</v>
      </c>
      <c r="B353" s="3">
        <v>45952</v>
      </c>
      <c r="C353" s="2" t="s">
        <v>37</v>
      </c>
      <c r="D353" s="2" t="s">
        <v>22</v>
      </c>
      <c r="E353" s="2" t="s">
        <v>45</v>
      </c>
      <c r="F353">
        <v>11</v>
      </c>
      <c r="G353">
        <v>1200</v>
      </c>
      <c r="H353">
        <v>13200</v>
      </c>
      <c r="I353">
        <v>7920</v>
      </c>
      <c r="J353">
        <v>5280</v>
      </c>
    </row>
    <row r="354" spans="1:10" x14ac:dyDescent="0.3">
      <c r="A354" s="2" t="s">
        <v>394</v>
      </c>
      <c r="B354" s="3">
        <v>45805</v>
      </c>
      <c r="C354" s="2" t="s">
        <v>21</v>
      </c>
      <c r="D354" s="2" t="s">
        <v>32</v>
      </c>
      <c r="E354" s="2" t="s">
        <v>35</v>
      </c>
      <c r="F354">
        <v>2</v>
      </c>
      <c r="G354">
        <v>1045</v>
      </c>
      <c r="H354">
        <v>2090</v>
      </c>
      <c r="I354">
        <v>1240</v>
      </c>
      <c r="J354">
        <v>850</v>
      </c>
    </row>
    <row r="355" spans="1:10" x14ac:dyDescent="0.3">
      <c r="A355" s="2" t="s">
        <v>395</v>
      </c>
      <c r="B355" s="3">
        <v>45697</v>
      </c>
      <c r="C355" s="2" t="s">
        <v>14</v>
      </c>
      <c r="D355" s="2" t="s">
        <v>15</v>
      </c>
      <c r="E355" s="2" t="s">
        <v>43</v>
      </c>
      <c r="F355">
        <v>1</v>
      </c>
      <c r="G355">
        <v>700</v>
      </c>
      <c r="H355">
        <v>700</v>
      </c>
      <c r="I355">
        <v>410</v>
      </c>
      <c r="J355">
        <v>290</v>
      </c>
    </row>
    <row r="356" spans="1:10" x14ac:dyDescent="0.3">
      <c r="A356" s="2" t="s">
        <v>396</v>
      </c>
      <c r="B356" s="3">
        <v>45956</v>
      </c>
      <c r="C356" s="2" t="s">
        <v>42</v>
      </c>
      <c r="D356" s="2" t="s">
        <v>15</v>
      </c>
      <c r="E356" s="2" t="s">
        <v>72</v>
      </c>
      <c r="F356">
        <v>4</v>
      </c>
      <c r="G356">
        <v>1170</v>
      </c>
      <c r="H356">
        <v>4680</v>
      </c>
      <c r="I356">
        <v>3280</v>
      </c>
      <c r="J356">
        <v>1400</v>
      </c>
    </row>
    <row r="357" spans="1:10" x14ac:dyDescent="0.3">
      <c r="A357" s="2" t="s">
        <v>397</v>
      </c>
      <c r="B357" s="3">
        <v>45873</v>
      </c>
      <c r="C357" s="2" t="s">
        <v>42</v>
      </c>
      <c r="D357" s="2" t="s">
        <v>32</v>
      </c>
      <c r="E357" s="2" t="s">
        <v>47</v>
      </c>
      <c r="F357">
        <v>10</v>
      </c>
      <c r="G357">
        <v>7650</v>
      </c>
      <c r="H357">
        <v>76500</v>
      </c>
      <c r="I357">
        <v>65000</v>
      </c>
      <c r="J357">
        <v>11500</v>
      </c>
    </row>
    <row r="358" spans="1:10" x14ac:dyDescent="0.3">
      <c r="A358" s="2" t="s">
        <v>398</v>
      </c>
      <c r="B358" s="3">
        <v>45763</v>
      </c>
      <c r="C358" s="2" t="s">
        <v>21</v>
      </c>
      <c r="D358" s="2" t="s">
        <v>22</v>
      </c>
      <c r="E358" s="2" t="s">
        <v>40</v>
      </c>
      <c r="F358">
        <v>12</v>
      </c>
      <c r="G358">
        <v>855</v>
      </c>
      <c r="H358">
        <v>10260</v>
      </c>
      <c r="I358">
        <v>6240</v>
      </c>
      <c r="J358">
        <v>4020</v>
      </c>
    </row>
    <row r="359" spans="1:10" x14ac:dyDescent="0.3">
      <c r="A359" s="2" t="s">
        <v>399</v>
      </c>
      <c r="B359" s="3">
        <v>45682</v>
      </c>
      <c r="C359" s="2" t="s">
        <v>25</v>
      </c>
      <c r="D359" s="2" t="s">
        <v>32</v>
      </c>
      <c r="E359" s="2" t="s">
        <v>55</v>
      </c>
      <c r="F359">
        <v>2</v>
      </c>
      <c r="G359">
        <v>5220</v>
      </c>
      <c r="H359">
        <v>10440</v>
      </c>
      <c r="I359">
        <v>8400</v>
      </c>
      <c r="J359">
        <v>2040</v>
      </c>
    </row>
    <row r="360" spans="1:10" x14ac:dyDescent="0.3">
      <c r="A360" s="2" t="s">
        <v>400</v>
      </c>
      <c r="B360" s="3">
        <v>45694</v>
      </c>
      <c r="C360" s="2" t="s">
        <v>21</v>
      </c>
      <c r="D360" s="2" t="s">
        <v>32</v>
      </c>
      <c r="E360" s="2" t="s">
        <v>33</v>
      </c>
      <c r="F360">
        <v>4</v>
      </c>
      <c r="G360">
        <v>6200</v>
      </c>
      <c r="H360">
        <v>24800</v>
      </c>
      <c r="I360">
        <v>18000</v>
      </c>
      <c r="J360">
        <v>6800</v>
      </c>
    </row>
    <row r="361" spans="1:10" x14ac:dyDescent="0.3">
      <c r="A361" s="2" t="s">
        <v>401</v>
      </c>
      <c r="B361" s="3">
        <v>45970</v>
      </c>
      <c r="C361" s="2" t="s">
        <v>14</v>
      </c>
      <c r="D361" s="2" t="s">
        <v>18</v>
      </c>
      <c r="E361" s="2" t="s">
        <v>82</v>
      </c>
      <c r="F361">
        <v>7</v>
      </c>
      <c r="G361">
        <v>220</v>
      </c>
      <c r="H361">
        <v>1540</v>
      </c>
      <c r="I361">
        <v>840</v>
      </c>
      <c r="J361">
        <v>700</v>
      </c>
    </row>
    <row r="362" spans="1:10" x14ac:dyDescent="0.3">
      <c r="A362" s="2" t="s">
        <v>402</v>
      </c>
      <c r="B362" s="3">
        <v>45704</v>
      </c>
      <c r="C362" s="2" t="s">
        <v>21</v>
      </c>
      <c r="D362" s="2" t="s">
        <v>15</v>
      </c>
      <c r="E362" s="2" t="s">
        <v>72</v>
      </c>
      <c r="F362">
        <v>8</v>
      </c>
      <c r="G362">
        <v>1170</v>
      </c>
      <c r="H362">
        <v>9360</v>
      </c>
      <c r="I362">
        <v>6560</v>
      </c>
      <c r="J362">
        <v>2800</v>
      </c>
    </row>
    <row r="363" spans="1:10" x14ac:dyDescent="0.3">
      <c r="A363" s="2" t="s">
        <v>403</v>
      </c>
      <c r="B363" s="3">
        <v>45914</v>
      </c>
      <c r="C363" s="2" t="s">
        <v>42</v>
      </c>
      <c r="D363" s="2" t="s">
        <v>32</v>
      </c>
      <c r="E363" s="2" t="s">
        <v>35</v>
      </c>
      <c r="F363">
        <v>12</v>
      </c>
      <c r="G363">
        <v>990</v>
      </c>
      <c r="H363">
        <v>11880</v>
      </c>
      <c r="I363">
        <v>7440</v>
      </c>
      <c r="J363">
        <v>4440</v>
      </c>
    </row>
    <row r="364" spans="1:10" x14ac:dyDescent="0.3">
      <c r="A364" s="2" t="s">
        <v>404</v>
      </c>
      <c r="B364" s="3">
        <v>45824</v>
      </c>
      <c r="C364" s="2" t="s">
        <v>37</v>
      </c>
      <c r="D364" s="2" t="s">
        <v>22</v>
      </c>
      <c r="E364" s="2" t="s">
        <v>23</v>
      </c>
      <c r="F364">
        <v>12</v>
      </c>
      <c r="G364">
        <v>9025</v>
      </c>
      <c r="H364">
        <v>108300</v>
      </c>
      <c r="I364">
        <v>91200</v>
      </c>
      <c r="J364">
        <v>17100</v>
      </c>
    </row>
    <row r="365" spans="1:10" x14ac:dyDescent="0.3">
      <c r="A365" s="2" t="s">
        <v>405</v>
      </c>
      <c r="B365" s="3">
        <v>45692</v>
      </c>
      <c r="C365" s="2" t="s">
        <v>42</v>
      </c>
      <c r="D365" s="2" t="s">
        <v>32</v>
      </c>
      <c r="E365" s="2" t="s">
        <v>47</v>
      </c>
      <c r="F365">
        <v>4</v>
      </c>
      <c r="G365">
        <v>7650</v>
      </c>
      <c r="H365">
        <v>30600</v>
      </c>
      <c r="I365">
        <v>26000</v>
      </c>
      <c r="J365">
        <v>4600</v>
      </c>
    </row>
    <row r="366" spans="1:10" x14ac:dyDescent="0.3">
      <c r="A366" s="2" t="s">
        <v>406</v>
      </c>
      <c r="B366" s="3">
        <v>45704</v>
      </c>
      <c r="C366" s="2" t="s">
        <v>21</v>
      </c>
      <c r="D366" s="2" t="s">
        <v>22</v>
      </c>
      <c r="E366" s="2" t="s">
        <v>23</v>
      </c>
      <c r="F366">
        <v>2</v>
      </c>
      <c r="G366">
        <v>9500</v>
      </c>
      <c r="H366">
        <v>19000</v>
      </c>
      <c r="I366">
        <v>15200</v>
      </c>
      <c r="J366">
        <v>3800</v>
      </c>
    </row>
    <row r="367" spans="1:10" x14ac:dyDescent="0.3">
      <c r="A367" s="2" t="s">
        <v>407</v>
      </c>
      <c r="B367" s="3">
        <v>46013</v>
      </c>
      <c r="C367" s="2" t="s">
        <v>42</v>
      </c>
      <c r="D367" s="2" t="s">
        <v>22</v>
      </c>
      <c r="E367" s="2" t="s">
        <v>97</v>
      </c>
      <c r="F367">
        <v>11</v>
      </c>
      <c r="G367">
        <v>1620</v>
      </c>
      <c r="H367">
        <v>17820</v>
      </c>
      <c r="I367">
        <v>12650</v>
      </c>
      <c r="J367">
        <v>5170</v>
      </c>
    </row>
    <row r="368" spans="1:10" x14ac:dyDescent="0.3">
      <c r="A368" s="2" t="s">
        <v>408</v>
      </c>
      <c r="B368" s="3">
        <v>45882</v>
      </c>
      <c r="C368" s="2" t="s">
        <v>14</v>
      </c>
      <c r="D368" s="2" t="s">
        <v>22</v>
      </c>
      <c r="E368" s="2" t="s">
        <v>97</v>
      </c>
      <c r="F368">
        <v>9</v>
      </c>
      <c r="G368">
        <v>1800</v>
      </c>
      <c r="H368">
        <v>16200</v>
      </c>
      <c r="I368">
        <v>10350</v>
      </c>
      <c r="J368">
        <v>5850</v>
      </c>
    </row>
    <row r="369" spans="1:10" x14ac:dyDescent="0.3">
      <c r="A369" s="2" t="s">
        <v>409</v>
      </c>
      <c r="B369" s="3">
        <v>45978</v>
      </c>
      <c r="C369" s="2" t="s">
        <v>21</v>
      </c>
      <c r="D369" s="2" t="s">
        <v>22</v>
      </c>
      <c r="E369" s="2" t="s">
        <v>40</v>
      </c>
      <c r="F369">
        <v>7</v>
      </c>
      <c r="G369">
        <v>900</v>
      </c>
      <c r="H369">
        <v>6300</v>
      </c>
      <c r="I369">
        <v>3640</v>
      </c>
      <c r="J369">
        <v>2660</v>
      </c>
    </row>
    <row r="370" spans="1:10" x14ac:dyDescent="0.3">
      <c r="A370" s="2" t="s">
        <v>410</v>
      </c>
      <c r="B370" s="3">
        <v>45813</v>
      </c>
      <c r="C370" s="2" t="s">
        <v>37</v>
      </c>
      <c r="D370" s="2" t="s">
        <v>15</v>
      </c>
      <c r="E370" s="2" t="s">
        <v>43</v>
      </c>
      <c r="F370">
        <v>6</v>
      </c>
      <c r="G370">
        <v>700</v>
      </c>
      <c r="H370">
        <v>4200</v>
      </c>
      <c r="I370">
        <v>2460</v>
      </c>
      <c r="J370">
        <v>1740</v>
      </c>
    </row>
    <row r="371" spans="1:10" x14ac:dyDescent="0.3">
      <c r="A371" s="2" t="s">
        <v>411</v>
      </c>
      <c r="B371" s="3">
        <v>45683</v>
      </c>
      <c r="C371" s="2" t="s">
        <v>37</v>
      </c>
      <c r="D371" s="2" t="s">
        <v>15</v>
      </c>
      <c r="E371" s="2" t="s">
        <v>16</v>
      </c>
      <c r="F371">
        <v>2</v>
      </c>
      <c r="G371">
        <v>427.5</v>
      </c>
      <c r="H371">
        <v>855</v>
      </c>
      <c r="I371">
        <v>480</v>
      </c>
      <c r="J371">
        <v>375</v>
      </c>
    </row>
    <row r="372" spans="1:10" x14ac:dyDescent="0.3">
      <c r="A372" s="2" t="s">
        <v>412</v>
      </c>
      <c r="B372" s="3">
        <v>45776</v>
      </c>
      <c r="C372" s="2" t="s">
        <v>21</v>
      </c>
      <c r="D372" s="2" t="s">
        <v>32</v>
      </c>
      <c r="E372" s="2" t="s">
        <v>35</v>
      </c>
      <c r="F372">
        <v>4</v>
      </c>
      <c r="G372">
        <v>1100</v>
      </c>
      <c r="H372">
        <v>4400</v>
      </c>
      <c r="I372">
        <v>2480</v>
      </c>
      <c r="J372">
        <v>1920</v>
      </c>
    </row>
    <row r="373" spans="1:10" x14ac:dyDescent="0.3">
      <c r="A373" s="2" t="s">
        <v>413</v>
      </c>
      <c r="B373" s="3">
        <v>45710</v>
      </c>
      <c r="C373" s="2" t="s">
        <v>42</v>
      </c>
      <c r="D373" s="2" t="s">
        <v>15</v>
      </c>
      <c r="E373" s="2" t="s">
        <v>72</v>
      </c>
      <c r="F373">
        <v>10</v>
      </c>
      <c r="G373">
        <v>1300</v>
      </c>
      <c r="H373">
        <v>13000</v>
      </c>
      <c r="I373">
        <v>8200</v>
      </c>
      <c r="J373">
        <v>4800</v>
      </c>
    </row>
    <row r="374" spans="1:10" x14ac:dyDescent="0.3">
      <c r="A374" s="2" t="s">
        <v>414</v>
      </c>
      <c r="B374" s="3">
        <v>45988</v>
      </c>
      <c r="C374" s="2" t="s">
        <v>21</v>
      </c>
      <c r="D374" s="2" t="s">
        <v>22</v>
      </c>
      <c r="E374" s="2" t="s">
        <v>28</v>
      </c>
      <c r="F374">
        <v>2</v>
      </c>
      <c r="G374">
        <v>617.5</v>
      </c>
      <c r="H374">
        <v>1235</v>
      </c>
      <c r="I374">
        <v>760</v>
      </c>
      <c r="J374">
        <v>475</v>
      </c>
    </row>
    <row r="375" spans="1:10" x14ac:dyDescent="0.3">
      <c r="A375" s="2" t="s">
        <v>415</v>
      </c>
      <c r="B375" s="3">
        <v>45966</v>
      </c>
      <c r="C375" s="2" t="s">
        <v>42</v>
      </c>
      <c r="D375" s="2" t="s">
        <v>32</v>
      </c>
      <c r="E375" s="2" t="s">
        <v>47</v>
      </c>
      <c r="F375">
        <v>9</v>
      </c>
      <c r="G375">
        <v>8500</v>
      </c>
      <c r="H375">
        <v>76500</v>
      </c>
      <c r="I375">
        <v>58500</v>
      </c>
      <c r="J375">
        <v>18000</v>
      </c>
    </row>
    <row r="376" spans="1:10" x14ac:dyDescent="0.3">
      <c r="A376" s="2" t="s">
        <v>416</v>
      </c>
      <c r="B376" s="3">
        <v>45959</v>
      </c>
      <c r="C376" s="2" t="s">
        <v>37</v>
      </c>
      <c r="D376" s="2" t="s">
        <v>22</v>
      </c>
      <c r="E376" s="2" t="s">
        <v>40</v>
      </c>
      <c r="F376">
        <v>10</v>
      </c>
      <c r="G376">
        <v>900</v>
      </c>
      <c r="H376">
        <v>9000</v>
      </c>
      <c r="I376">
        <v>5200</v>
      </c>
      <c r="J376">
        <v>3800</v>
      </c>
    </row>
    <row r="377" spans="1:10" x14ac:dyDescent="0.3">
      <c r="A377" s="2" t="s">
        <v>417</v>
      </c>
      <c r="B377" s="3">
        <v>45810</v>
      </c>
      <c r="C377" s="2" t="s">
        <v>21</v>
      </c>
      <c r="D377" s="2" t="s">
        <v>22</v>
      </c>
      <c r="E377" s="2" t="s">
        <v>28</v>
      </c>
      <c r="F377">
        <v>12</v>
      </c>
      <c r="G377">
        <v>617.5</v>
      </c>
      <c r="H377">
        <v>7410</v>
      </c>
      <c r="I377">
        <v>4560</v>
      </c>
      <c r="J377">
        <v>2850</v>
      </c>
    </row>
    <row r="378" spans="1:10" x14ac:dyDescent="0.3">
      <c r="A378" s="2" t="s">
        <v>418</v>
      </c>
      <c r="B378" s="3">
        <v>45983</v>
      </c>
      <c r="C378" s="2" t="s">
        <v>21</v>
      </c>
      <c r="D378" s="2" t="s">
        <v>18</v>
      </c>
      <c r="E378" s="2" t="s">
        <v>65</v>
      </c>
      <c r="F378">
        <v>2</v>
      </c>
      <c r="G378">
        <v>304</v>
      </c>
      <c r="H378">
        <v>608</v>
      </c>
      <c r="I378">
        <v>420</v>
      </c>
      <c r="J378">
        <v>188</v>
      </c>
    </row>
    <row r="379" spans="1:10" x14ac:dyDescent="0.3">
      <c r="A379" s="2" t="s">
        <v>419</v>
      </c>
      <c r="B379" s="3">
        <v>46001</v>
      </c>
      <c r="C379" s="2" t="s">
        <v>42</v>
      </c>
      <c r="D379" s="2" t="s">
        <v>15</v>
      </c>
      <c r="E379" s="2" t="s">
        <v>38</v>
      </c>
      <c r="F379">
        <v>6</v>
      </c>
      <c r="G379">
        <v>570</v>
      </c>
      <c r="H379">
        <v>3420</v>
      </c>
      <c r="I379">
        <v>1980</v>
      </c>
      <c r="J379">
        <v>1440</v>
      </c>
    </row>
    <row r="380" spans="1:10" x14ac:dyDescent="0.3">
      <c r="A380" s="2" t="s">
        <v>420</v>
      </c>
      <c r="B380" s="3">
        <v>45831</v>
      </c>
      <c r="C380" s="2" t="s">
        <v>21</v>
      </c>
      <c r="D380" s="2" t="s">
        <v>18</v>
      </c>
      <c r="E380" s="2" t="s">
        <v>26</v>
      </c>
      <c r="F380">
        <v>10</v>
      </c>
      <c r="G380">
        <v>180</v>
      </c>
      <c r="H380">
        <v>1800</v>
      </c>
      <c r="I380">
        <v>800</v>
      </c>
      <c r="J380">
        <v>1000</v>
      </c>
    </row>
    <row r="381" spans="1:10" x14ac:dyDescent="0.3">
      <c r="A381" s="2" t="s">
        <v>421</v>
      </c>
      <c r="B381" s="3">
        <v>45739</v>
      </c>
      <c r="C381" s="2" t="s">
        <v>14</v>
      </c>
      <c r="D381" s="2" t="s">
        <v>18</v>
      </c>
      <c r="E381" s="2" t="s">
        <v>26</v>
      </c>
      <c r="F381">
        <v>8</v>
      </c>
      <c r="G381">
        <v>171</v>
      </c>
      <c r="H381">
        <v>1368</v>
      </c>
      <c r="I381">
        <v>640</v>
      </c>
      <c r="J381">
        <v>728</v>
      </c>
    </row>
    <row r="382" spans="1:10" x14ac:dyDescent="0.3">
      <c r="A382" s="2" t="s">
        <v>422</v>
      </c>
      <c r="B382" s="3">
        <v>45670</v>
      </c>
      <c r="C382" s="2" t="s">
        <v>37</v>
      </c>
      <c r="D382" s="2" t="s">
        <v>32</v>
      </c>
      <c r="E382" s="2" t="s">
        <v>35</v>
      </c>
      <c r="F382">
        <v>1</v>
      </c>
      <c r="G382">
        <v>1045</v>
      </c>
      <c r="H382">
        <v>1045</v>
      </c>
      <c r="I382">
        <v>620</v>
      </c>
      <c r="J382">
        <v>425</v>
      </c>
    </row>
    <row r="383" spans="1:10" x14ac:dyDescent="0.3">
      <c r="A383" s="2" t="s">
        <v>423</v>
      </c>
      <c r="B383" s="3">
        <v>45997</v>
      </c>
      <c r="C383" s="2" t="s">
        <v>42</v>
      </c>
      <c r="D383" s="2" t="s">
        <v>15</v>
      </c>
      <c r="E383" s="2" t="s">
        <v>16</v>
      </c>
      <c r="F383">
        <v>1</v>
      </c>
      <c r="G383">
        <v>450</v>
      </c>
      <c r="H383">
        <v>450</v>
      </c>
      <c r="I383">
        <v>240</v>
      </c>
      <c r="J383">
        <v>210</v>
      </c>
    </row>
    <row r="384" spans="1:10" x14ac:dyDescent="0.3">
      <c r="A384" s="2" t="s">
        <v>424</v>
      </c>
      <c r="B384" s="3">
        <v>45799</v>
      </c>
      <c r="C384" s="2" t="s">
        <v>42</v>
      </c>
      <c r="D384" s="2" t="s">
        <v>18</v>
      </c>
      <c r="E384" s="2" t="s">
        <v>26</v>
      </c>
      <c r="F384">
        <v>8</v>
      </c>
      <c r="G384">
        <v>171</v>
      </c>
      <c r="H384">
        <v>1368</v>
      </c>
      <c r="I384">
        <v>640</v>
      </c>
      <c r="J384">
        <v>728</v>
      </c>
    </row>
    <row r="385" spans="1:10" x14ac:dyDescent="0.3">
      <c r="A385" s="2" t="s">
        <v>425</v>
      </c>
      <c r="B385" s="3">
        <v>45717</v>
      </c>
      <c r="C385" s="2" t="s">
        <v>25</v>
      </c>
      <c r="D385" s="2" t="s">
        <v>15</v>
      </c>
      <c r="E385" s="2" t="s">
        <v>72</v>
      </c>
      <c r="F385">
        <v>5</v>
      </c>
      <c r="G385">
        <v>1300</v>
      </c>
      <c r="H385">
        <v>6500</v>
      </c>
      <c r="I385">
        <v>4100</v>
      </c>
      <c r="J385">
        <v>2400</v>
      </c>
    </row>
    <row r="386" spans="1:10" x14ac:dyDescent="0.3">
      <c r="A386" s="2" t="s">
        <v>426</v>
      </c>
      <c r="B386" s="3">
        <v>45947</v>
      </c>
      <c r="C386" s="2" t="s">
        <v>21</v>
      </c>
      <c r="D386" s="2" t="s">
        <v>18</v>
      </c>
      <c r="E386" s="2" t="s">
        <v>65</v>
      </c>
      <c r="F386">
        <v>9</v>
      </c>
      <c r="G386">
        <v>320</v>
      </c>
      <c r="H386">
        <v>2880</v>
      </c>
      <c r="I386">
        <v>1890</v>
      </c>
      <c r="J386">
        <v>990</v>
      </c>
    </row>
    <row r="387" spans="1:10" x14ac:dyDescent="0.3">
      <c r="A387" s="2" t="s">
        <v>427</v>
      </c>
      <c r="B387" s="3">
        <v>45879</v>
      </c>
      <c r="C387" s="2" t="s">
        <v>25</v>
      </c>
      <c r="D387" s="2" t="s">
        <v>32</v>
      </c>
      <c r="E387" s="2" t="s">
        <v>33</v>
      </c>
      <c r="F387">
        <v>5</v>
      </c>
      <c r="G387">
        <v>5890</v>
      </c>
      <c r="H387">
        <v>29450</v>
      </c>
      <c r="I387">
        <v>22500</v>
      </c>
      <c r="J387">
        <v>6950</v>
      </c>
    </row>
    <row r="388" spans="1:10" x14ac:dyDescent="0.3">
      <c r="A388" s="2" t="s">
        <v>428</v>
      </c>
      <c r="B388" s="3">
        <v>45713</v>
      </c>
      <c r="C388" s="2" t="s">
        <v>42</v>
      </c>
      <c r="D388" s="2" t="s">
        <v>18</v>
      </c>
      <c r="E388" s="2" t="s">
        <v>19</v>
      </c>
      <c r="F388">
        <v>12</v>
      </c>
      <c r="G388">
        <v>225</v>
      </c>
      <c r="H388">
        <v>2700</v>
      </c>
      <c r="I388">
        <v>1560</v>
      </c>
      <c r="J388">
        <v>1140</v>
      </c>
    </row>
    <row r="389" spans="1:10" x14ac:dyDescent="0.3">
      <c r="A389" s="2" t="s">
        <v>429</v>
      </c>
      <c r="B389" s="3">
        <v>45784</v>
      </c>
      <c r="C389" s="2" t="s">
        <v>14</v>
      </c>
      <c r="D389" s="2" t="s">
        <v>18</v>
      </c>
      <c r="E389" s="2" t="s">
        <v>26</v>
      </c>
      <c r="F389">
        <v>3</v>
      </c>
      <c r="G389">
        <v>180</v>
      </c>
      <c r="H389">
        <v>540</v>
      </c>
      <c r="I389">
        <v>240</v>
      </c>
      <c r="J389">
        <v>300</v>
      </c>
    </row>
    <row r="390" spans="1:10" x14ac:dyDescent="0.3">
      <c r="A390" s="2" t="s">
        <v>430</v>
      </c>
      <c r="B390" s="3">
        <v>45833</v>
      </c>
      <c r="C390" s="2" t="s">
        <v>25</v>
      </c>
      <c r="D390" s="2" t="s">
        <v>32</v>
      </c>
      <c r="E390" s="2" t="s">
        <v>35</v>
      </c>
      <c r="F390">
        <v>8</v>
      </c>
      <c r="G390">
        <v>1045</v>
      </c>
      <c r="H390">
        <v>8360</v>
      </c>
      <c r="I390">
        <v>4960</v>
      </c>
      <c r="J390">
        <v>3400</v>
      </c>
    </row>
    <row r="391" spans="1:10" x14ac:dyDescent="0.3">
      <c r="A391" s="2" t="s">
        <v>431</v>
      </c>
      <c r="B391" s="3">
        <v>46001</v>
      </c>
      <c r="C391" s="2" t="s">
        <v>25</v>
      </c>
      <c r="D391" s="2" t="s">
        <v>32</v>
      </c>
      <c r="E391" s="2" t="s">
        <v>47</v>
      </c>
      <c r="F391">
        <v>9</v>
      </c>
      <c r="G391">
        <v>7650</v>
      </c>
      <c r="H391">
        <v>68850</v>
      </c>
      <c r="I391">
        <v>58500</v>
      </c>
      <c r="J391">
        <v>10350</v>
      </c>
    </row>
    <row r="392" spans="1:10" x14ac:dyDescent="0.3">
      <c r="A392" s="2" t="s">
        <v>432</v>
      </c>
      <c r="B392" s="3">
        <v>46013</v>
      </c>
      <c r="C392" s="2" t="s">
        <v>37</v>
      </c>
      <c r="D392" s="2" t="s">
        <v>22</v>
      </c>
      <c r="E392" s="2" t="s">
        <v>40</v>
      </c>
      <c r="F392">
        <v>1</v>
      </c>
      <c r="G392">
        <v>900</v>
      </c>
      <c r="H392">
        <v>900</v>
      </c>
      <c r="I392">
        <v>520</v>
      </c>
      <c r="J392">
        <v>380</v>
      </c>
    </row>
    <row r="393" spans="1:10" x14ac:dyDescent="0.3">
      <c r="A393" s="2" t="s">
        <v>433</v>
      </c>
      <c r="B393" s="3">
        <v>46007</v>
      </c>
      <c r="C393" s="2" t="s">
        <v>14</v>
      </c>
      <c r="D393" s="2" t="s">
        <v>22</v>
      </c>
      <c r="E393" s="2" t="s">
        <v>28</v>
      </c>
      <c r="F393">
        <v>8</v>
      </c>
      <c r="G393">
        <v>617.5</v>
      </c>
      <c r="H393">
        <v>4940</v>
      </c>
      <c r="I393">
        <v>3040</v>
      </c>
      <c r="J393">
        <v>1900</v>
      </c>
    </row>
    <row r="394" spans="1:10" x14ac:dyDescent="0.3">
      <c r="A394" s="2" t="s">
        <v>434</v>
      </c>
      <c r="B394" s="3">
        <v>45784</v>
      </c>
      <c r="C394" s="2" t="s">
        <v>42</v>
      </c>
      <c r="D394" s="2" t="s">
        <v>32</v>
      </c>
      <c r="E394" s="2" t="s">
        <v>35</v>
      </c>
      <c r="F394">
        <v>5</v>
      </c>
      <c r="G394">
        <v>1100</v>
      </c>
      <c r="H394">
        <v>5500</v>
      </c>
      <c r="I394">
        <v>3100</v>
      </c>
      <c r="J394">
        <v>2400</v>
      </c>
    </row>
    <row r="395" spans="1:10" x14ac:dyDescent="0.3">
      <c r="A395" s="2" t="s">
        <v>435</v>
      </c>
      <c r="B395" s="3">
        <v>45702</v>
      </c>
      <c r="C395" s="2" t="s">
        <v>25</v>
      </c>
      <c r="D395" s="2" t="s">
        <v>22</v>
      </c>
      <c r="E395" s="2" t="s">
        <v>40</v>
      </c>
      <c r="F395">
        <v>8</v>
      </c>
      <c r="G395">
        <v>900</v>
      </c>
      <c r="H395">
        <v>7200</v>
      </c>
      <c r="I395">
        <v>4160</v>
      </c>
      <c r="J395">
        <v>3040</v>
      </c>
    </row>
    <row r="396" spans="1:10" x14ac:dyDescent="0.3">
      <c r="A396" s="2" t="s">
        <v>436</v>
      </c>
      <c r="B396" s="3">
        <v>45700</v>
      </c>
      <c r="C396" s="2" t="s">
        <v>25</v>
      </c>
      <c r="D396" s="2" t="s">
        <v>18</v>
      </c>
      <c r="E396" s="2" t="s">
        <v>65</v>
      </c>
      <c r="F396">
        <v>7</v>
      </c>
      <c r="G396">
        <v>320</v>
      </c>
      <c r="H396">
        <v>2240</v>
      </c>
      <c r="I396">
        <v>1470</v>
      </c>
      <c r="J396">
        <v>770</v>
      </c>
    </row>
    <row r="397" spans="1:10" x14ac:dyDescent="0.3">
      <c r="A397" s="2" t="s">
        <v>437</v>
      </c>
      <c r="B397" s="3">
        <v>45750</v>
      </c>
      <c r="C397" s="2" t="s">
        <v>42</v>
      </c>
      <c r="D397" s="2" t="s">
        <v>32</v>
      </c>
      <c r="E397" s="2" t="s">
        <v>62</v>
      </c>
      <c r="F397">
        <v>1</v>
      </c>
      <c r="G397">
        <v>3990</v>
      </c>
      <c r="H397">
        <v>3990</v>
      </c>
      <c r="I397">
        <v>2900</v>
      </c>
      <c r="J397">
        <v>1090</v>
      </c>
    </row>
    <row r="398" spans="1:10" x14ac:dyDescent="0.3">
      <c r="A398" s="2" t="s">
        <v>438</v>
      </c>
      <c r="B398" s="3">
        <v>45960</v>
      </c>
      <c r="C398" s="2" t="s">
        <v>37</v>
      </c>
      <c r="D398" s="2" t="s">
        <v>22</v>
      </c>
      <c r="E398" s="2" t="s">
        <v>28</v>
      </c>
      <c r="F398">
        <v>2</v>
      </c>
      <c r="G398">
        <v>585</v>
      </c>
      <c r="H398">
        <v>1170</v>
      </c>
      <c r="I398">
        <v>760</v>
      </c>
      <c r="J398">
        <v>410</v>
      </c>
    </row>
    <row r="399" spans="1:10" x14ac:dyDescent="0.3">
      <c r="A399" s="2" t="s">
        <v>439</v>
      </c>
      <c r="B399" s="3">
        <v>45991</v>
      </c>
      <c r="C399" s="2" t="s">
        <v>25</v>
      </c>
      <c r="D399" s="2" t="s">
        <v>18</v>
      </c>
      <c r="E399" s="2" t="s">
        <v>19</v>
      </c>
      <c r="F399">
        <v>12</v>
      </c>
      <c r="G399">
        <v>250</v>
      </c>
      <c r="H399">
        <v>3000</v>
      </c>
      <c r="I399">
        <v>1560</v>
      </c>
      <c r="J399">
        <v>1440</v>
      </c>
    </row>
    <row r="400" spans="1:10" x14ac:dyDescent="0.3">
      <c r="A400" s="2" t="s">
        <v>440</v>
      </c>
      <c r="B400" s="3">
        <v>45969</v>
      </c>
      <c r="C400" s="2" t="s">
        <v>37</v>
      </c>
      <c r="D400" s="2" t="s">
        <v>18</v>
      </c>
      <c r="E400" s="2" t="s">
        <v>65</v>
      </c>
      <c r="F400">
        <v>12</v>
      </c>
      <c r="G400">
        <v>320</v>
      </c>
      <c r="H400">
        <v>3840</v>
      </c>
      <c r="I400">
        <v>2520</v>
      </c>
      <c r="J400">
        <v>1320</v>
      </c>
    </row>
    <row r="401" spans="1:10" x14ac:dyDescent="0.3">
      <c r="A401" s="2" t="s">
        <v>441</v>
      </c>
      <c r="B401" s="3">
        <v>45877</v>
      </c>
      <c r="C401" s="2" t="s">
        <v>21</v>
      </c>
      <c r="D401" s="2" t="s">
        <v>32</v>
      </c>
      <c r="E401" s="2" t="s">
        <v>35</v>
      </c>
      <c r="F401">
        <v>4</v>
      </c>
      <c r="G401">
        <v>1100</v>
      </c>
      <c r="H401">
        <v>4400</v>
      </c>
      <c r="I401">
        <v>2480</v>
      </c>
      <c r="J401">
        <v>1920</v>
      </c>
    </row>
    <row r="402" spans="1:10" x14ac:dyDescent="0.3">
      <c r="A402" s="2" t="s">
        <v>442</v>
      </c>
      <c r="B402" s="3">
        <v>46010</v>
      </c>
      <c r="C402" s="2" t="s">
        <v>21</v>
      </c>
      <c r="D402" s="2" t="s">
        <v>18</v>
      </c>
      <c r="E402" s="2" t="s">
        <v>52</v>
      </c>
      <c r="F402">
        <v>4</v>
      </c>
      <c r="G402">
        <v>135</v>
      </c>
      <c r="H402">
        <v>540</v>
      </c>
      <c r="I402">
        <v>260</v>
      </c>
      <c r="J402">
        <v>280</v>
      </c>
    </row>
    <row r="403" spans="1:10" x14ac:dyDescent="0.3">
      <c r="A403" s="2" t="s">
        <v>443</v>
      </c>
      <c r="B403" s="3">
        <v>45915</v>
      </c>
      <c r="C403" s="2" t="s">
        <v>21</v>
      </c>
      <c r="D403" s="2" t="s">
        <v>18</v>
      </c>
      <c r="E403" s="2" t="s">
        <v>26</v>
      </c>
      <c r="F403">
        <v>4</v>
      </c>
      <c r="G403">
        <v>162</v>
      </c>
      <c r="H403">
        <v>648</v>
      </c>
      <c r="I403">
        <v>320</v>
      </c>
      <c r="J403">
        <v>328</v>
      </c>
    </row>
    <row r="404" spans="1:10" x14ac:dyDescent="0.3">
      <c r="A404" s="2" t="s">
        <v>444</v>
      </c>
      <c r="B404" s="3">
        <v>45899</v>
      </c>
      <c r="C404" s="2" t="s">
        <v>21</v>
      </c>
      <c r="D404" s="2" t="s">
        <v>32</v>
      </c>
      <c r="E404" s="2" t="s">
        <v>33</v>
      </c>
      <c r="F404">
        <v>10</v>
      </c>
      <c r="G404">
        <v>5580</v>
      </c>
      <c r="H404">
        <v>55800</v>
      </c>
      <c r="I404">
        <v>45000</v>
      </c>
      <c r="J404">
        <v>10800</v>
      </c>
    </row>
    <row r="405" spans="1:10" x14ac:dyDescent="0.3">
      <c r="A405" s="2" t="s">
        <v>445</v>
      </c>
      <c r="B405" s="3">
        <v>45963</v>
      </c>
      <c r="C405" s="2" t="s">
        <v>42</v>
      </c>
      <c r="D405" s="2" t="s">
        <v>18</v>
      </c>
      <c r="E405" s="2" t="s">
        <v>26</v>
      </c>
      <c r="F405">
        <v>12</v>
      </c>
      <c r="G405">
        <v>180</v>
      </c>
      <c r="H405">
        <v>2160</v>
      </c>
      <c r="I405">
        <v>960</v>
      </c>
      <c r="J405">
        <v>1200</v>
      </c>
    </row>
    <row r="406" spans="1:10" x14ac:dyDescent="0.3">
      <c r="A406" s="2" t="s">
        <v>446</v>
      </c>
      <c r="B406" s="3">
        <v>45802</v>
      </c>
      <c r="C406" s="2" t="s">
        <v>21</v>
      </c>
      <c r="D406" s="2" t="s">
        <v>18</v>
      </c>
      <c r="E406" s="2" t="s">
        <v>82</v>
      </c>
      <c r="F406">
        <v>10</v>
      </c>
      <c r="G406">
        <v>220</v>
      </c>
      <c r="H406">
        <v>2200</v>
      </c>
      <c r="I406">
        <v>1200</v>
      </c>
      <c r="J406">
        <v>1000</v>
      </c>
    </row>
    <row r="407" spans="1:10" x14ac:dyDescent="0.3">
      <c r="A407" s="2" t="s">
        <v>447</v>
      </c>
      <c r="B407" s="3">
        <v>45838</v>
      </c>
      <c r="C407" s="2" t="s">
        <v>21</v>
      </c>
      <c r="D407" s="2" t="s">
        <v>32</v>
      </c>
      <c r="E407" s="2" t="s">
        <v>62</v>
      </c>
      <c r="F407">
        <v>2</v>
      </c>
      <c r="G407">
        <v>3990</v>
      </c>
      <c r="H407">
        <v>7980</v>
      </c>
      <c r="I407">
        <v>5800</v>
      </c>
      <c r="J407">
        <v>2180</v>
      </c>
    </row>
    <row r="408" spans="1:10" x14ac:dyDescent="0.3">
      <c r="A408" s="2" t="s">
        <v>448</v>
      </c>
      <c r="B408" s="3">
        <v>45880</v>
      </c>
      <c r="C408" s="2" t="s">
        <v>21</v>
      </c>
      <c r="D408" s="2" t="s">
        <v>32</v>
      </c>
      <c r="E408" s="2" t="s">
        <v>55</v>
      </c>
      <c r="F408">
        <v>8</v>
      </c>
      <c r="G408">
        <v>5220</v>
      </c>
      <c r="H408">
        <v>41760</v>
      </c>
      <c r="I408">
        <v>33600</v>
      </c>
      <c r="J408">
        <v>8160</v>
      </c>
    </row>
    <row r="409" spans="1:10" x14ac:dyDescent="0.3">
      <c r="A409" s="2" t="s">
        <v>449</v>
      </c>
      <c r="B409" s="3">
        <v>45732</v>
      </c>
      <c r="C409" s="2" t="s">
        <v>14</v>
      </c>
      <c r="D409" s="2" t="s">
        <v>22</v>
      </c>
      <c r="E409" s="2" t="s">
        <v>40</v>
      </c>
      <c r="F409">
        <v>3</v>
      </c>
      <c r="G409">
        <v>900</v>
      </c>
      <c r="H409">
        <v>2700</v>
      </c>
      <c r="I409">
        <v>1560</v>
      </c>
      <c r="J409">
        <v>1140</v>
      </c>
    </row>
    <row r="410" spans="1:10" x14ac:dyDescent="0.3">
      <c r="A410" s="2" t="s">
        <v>450</v>
      </c>
      <c r="B410" s="3">
        <v>45722</v>
      </c>
      <c r="C410" s="2" t="s">
        <v>21</v>
      </c>
      <c r="D410" s="2" t="s">
        <v>15</v>
      </c>
      <c r="E410" s="2" t="s">
        <v>49</v>
      </c>
      <c r="F410">
        <v>11</v>
      </c>
      <c r="G410">
        <v>522.5</v>
      </c>
      <c r="H410">
        <v>5747.5</v>
      </c>
      <c r="I410">
        <v>3300</v>
      </c>
      <c r="J410">
        <v>2447.5</v>
      </c>
    </row>
    <row r="411" spans="1:10" x14ac:dyDescent="0.3">
      <c r="A411" s="2" t="s">
        <v>451</v>
      </c>
      <c r="B411" s="3">
        <v>45845</v>
      </c>
      <c r="C411" s="2" t="s">
        <v>21</v>
      </c>
      <c r="D411" s="2" t="s">
        <v>18</v>
      </c>
      <c r="E411" s="2" t="s">
        <v>26</v>
      </c>
      <c r="F411">
        <v>2</v>
      </c>
      <c r="G411">
        <v>180</v>
      </c>
      <c r="H411">
        <v>360</v>
      </c>
      <c r="I411">
        <v>160</v>
      </c>
      <c r="J411">
        <v>200</v>
      </c>
    </row>
    <row r="412" spans="1:10" x14ac:dyDescent="0.3">
      <c r="A412" s="2" t="s">
        <v>452</v>
      </c>
      <c r="B412" s="3">
        <v>46005</v>
      </c>
      <c r="C412" s="2" t="s">
        <v>42</v>
      </c>
      <c r="D412" s="2" t="s">
        <v>22</v>
      </c>
      <c r="E412" s="2" t="s">
        <v>45</v>
      </c>
      <c r="F412">
        <v>2</v>
      </c>
      <c r="G412">
        <v>1140</v>
      </c>
      <c r="H412">
        <v>2280</v>
      </c>
      <c r="I412">
        <v>1440</v>
      </c>
      <c r="J412">
        <v>840</v>
      </c>
    </row>
    <row r="413" spans="1:10" x14ac:dyDescent="0.3">
      <c r="A413" s="2" t="s">
        <v>453</v>
      </c>
      <c r="B413" s="3">
        <v>45701</v>
      </c>
      <c r="C413" s="2" t="s">
        <v>21</v>
      </c>
      <c r="D413" s="2" t="s">
        <v>22</v>
      </c>
      <c r="E413" s="2" t="s">
        <v>40</v>
      </c>
      <c r="F413">
        <v>12</v>
      </c>
      <c r="G413">
        <v>900</v>
      </c>
      <c r="H413">
        <v>10800</v>
      </c>
      <c r="I413">
        <v>6240</v>
      </c>
      <c r="J413">
        <v>4560</v>
      </c>
    </row>
    <row r="414" spans="1:10" x14ac:dyDescent="0.3">
      <c r="A414" s="2" t="s">
        <v>454</v>
      </c>
      <c r="B414" s="3">
        <v>45860</v>
      </c>
      <c r="C414" s="2" t="s">
        <v>42</v>
      </c>
      <c r="D414" s="2" t="s">
        <v>18</v>
      </c>
      <c r="E414" s="2" t="s">
        <v>52</v>
      </c>
      <c r="F414">
        <v>3</v>
      </c>
      <c r="G414">
        <v>150</v>
      </c>
      <c r="H414">
        <v>450</v>
      </c>
      <c r="I414">
        <v>195</v>
      </c>
      <c r="J414">
        <v>255</v>
      </c>
    </row>
    <row r="415" spans="1:10" x14ac:dyDescent="0.3">
      <c r="A415" s="2" t="s">
        <v>455</v>
      </c>
      <c r="B415" s="3">
        <v>45673</v>
      </c>
      <c r="C415" s="2" t="s">
        <v>21</v>
      </c>
      <c r="D415" s="2" t="s">
        <v>18</v>
      </c>
      <c r="E415" s="2" t="s">
        <v>19</v>
      </c>
      <c r="F415">
        <v>7</v>
      </c>
      <c r="G415">
        <v>250</v>
      </c>
      <c r="H415">
        <v>1750</v>
      </c>
      <c r="I415">
        <v>910</v>
      </c>
      <c r="J415">
        <v>840</v>
      </c>
    </row>
    <row r="416" spans="1:10" x14ac:dyDescent="0.3">
      <c r="A416" s="2" t="s">
        <v>456</v>
      </c>
      <c r="B416" s="3">
        <v>45724</v>
      </c>
      <c r="C416" s="2" t="s">
        <v>25</v>
      </c>
      <c r="D416" s="2" t="s">
        <v>15</v>
      </c>
      <c r="E416" s="2" t="s">
        <v>49</v>
      </c>
      <c r="F416">
        <v>7</v>
      </c>
      <c r="G416">
        <v>550</v>
      </c>
      <c r="H416">
        <v>3850</v>
      </c>
      <c r="I416">
        <v>2100</v>
      </c>
      <c r="J416">
        <v>1750</v>
      </c>
    </row>
    <row r="417" spans="1:10" x14ac:dyDescent="0.3">
      <c r="A417" s="2" t="s">
        <v>457</v>
      </c>
      <c r="B417" s="3">
        <v>45881</v>
      </c>
      <c r="C417" s="2" t="s">
        <v>25</v>
      </c>
      <c r="D417" s="2" t="s">
        <v>32</v>
      </c>
      <c r="E417" s="2" t="s">
        <v>33</v>
      </c>
      <c r="F417">
        <v>2</v>
      </c>
      <c r="G417">
        <v>5890</v>
      </c>
      <c r="H417">
        <v>11780</v>
      </c>
      <c r="I417">
        <v>9000</v>
      </c>
      <c r="J417">
        <v>2780</v>
      </c>
    </row>
    <row r="418" spans="1:10" x14ac:dyDescent="0.3">
      <c r="A418" s="2" t="s">
        <v>458</v>
      </c>
      <c r="B418" s="3">
        <v>46000</v>
      </c>
      <c r="C418" s="2" t="s">
        <v>37</v>
      </c>
      <c r="D418" s="2" t="s">
        <v>18</v>
      </c>
      <c r="E418" s="2" t="s">
        <v>19</v>
      </c>
      <c r="F418">
        <v>10</v>
      </c>
      <c r="G418">
        <v>250</v>
      </c>
      <c r="H418">
        <v>2500</v>
      </c>
      <c r="I418">
        <v>1300</v>
      </c>
      <c r="J418">
        <v>1200</v>
      </c>
    </row>
    <row r="419" spans="1:10" x14ac:dyDescent="0.3">
      <c r="A419" s="2" t="s">
        <v>459</v>
      </c>
      <c r="B419" s="3">
        <v>45887</v>
      </c>
      <c r="C419" s="2" t="s">
        <v>14</v>
      </c>
      <c r="D419" s="2" t="s">
        <v>22</v>
      </c>
      <c r="E419" s="2" t="s">
        <v>45</v>
      </c>
      <c r="F419">
        <v>4</v>
      </c>
      <c r="G419">
        <v>1080</v>
      </c>
      <c r="H419">
        <v>4320</v>
      </c>
      <c r="I419">
        <v>2880</v>
      </c>
      <c r="J419">
        <v>1440</v>
      </c>
    </row>
    <row r="420" spans="1:10" x14ac:dyDescent="0.3">
      <c r="A420" s="2" t="s">
        <v>460</v>
      </c>
      <c r="B420" s="3">
        <v>45811</v>
      </c>
      <c r="C420" s="2" t="s">
        <v>21</v>
      </c>
      <c r="D420" s="2" t="s">
        <v>32</v>
      </c>
      <c r="E420" s="2" t="s">
        <v>35</v>
      </c>
      <c r="F420">
        <v>1</v>
      </c>
      <c r="G420">
        <v>1100</v>
      </c>
      <c r="H420">
        <v>1100</v>
      </c>
      <c r="I420">
        <v>620</v>
      </c>
      <c r="J420">
        <v>480</v>
      </c>
    </row>
    <row r="421" spans="1:10" x14ac:dyDescent="0.3">
      <c r="A421" s="2" t="s">
        <v>461</v>
      </c>
      <c r="B421" s="3">
        <v>45964</v>
      </c>
      <c r="C421" s="2" t="s">
        <v>21</v>
      </c>
      <c r="D421" s="2" t="s">
        <v>18</v>
      </c>
      <c r="E421" s="2" t="s">
        <v>26</v>
      </c>
      <c r="F421">
        <v>3</v>
      </c>
      <c r="G421">
        <v>180</v>
      </c>
      <c r="H421">
        <v>540</v>
      </c>
      <c r="I421">
        <v>240</v>
      </c>
      <c r="J421">
        <v>300</v>
      </c>
    </row>
    <row r="422" spans="1:10" x14ac:dyDescent="0.3">
      <c r="A422" s="2" t="s">
        <v>462</v>
      </c>
      <c r="B422" s="3">
        <v>45710</v>
      </c>
      <c r="C422" s="2" t="s">
        <v>14</v>
      </c>
      <c r="D422" s="2" t="s">
        <v>18</v>
      </c>
      <c r="E422" s="2" t="s">
        <v>19</v>
      </c>
      <c r="F422">
        <v>8</v>
      </c>
      <c r="G422">
        <v>250</v>
      </c>
      <c r="H422">
        <v>2000</v>
      </c>
      <c r="I422">
        <v>1040</v>
      </c>
      <c r="J422">
        <v>960</v>
      </c>
    </row>
    <row r="423" spans="1:10" x14ac:dyDescent="0.3">
      <c r="A423" s="2" t="s">
        <v>463</v>
      </c>
      <c r="B423" s="3">
        <v>45796</v>
      </c>
      <c r="C423" s="2" t="s">
        <v>42</v>
      </c>
      <c r="D423" s="2" t="s">
        <v>22</v>
      </c>
      <c r="E423" s="2" t="s">
        <v>28</v>
      </c>
      <c r="F423">
        <v>12</v>
      </c>
      <c r="G423">
        <v>617.5</v>
      </c>
      <c r="H423">
        <v>7410</v>
      </c>
      <c r="I423">
        <v>4560</v>
      </c>
      <c r="J423">
        <v>2850</v>
      </c>
    </row>
    <row r="424" spans="1:10" x14ac:dyDescent="0.3">
      <c r="A424" s="2" t="s">
        <v>464</v>
      </c>
      <c r="B424" s="3">
        <v>45746</v>
      </c>
      <c r="C424" s="2" t="s">
        <v>42</v>
      </c>
      <c r="D424" s="2" t="s">
        <v>22</v>
      </c>
      <c r="E424" s="2" t="s">
        <v>28</v>
      </c>
      <c r="F424">
        <v>4</v>
      </c>
      <c r="G424">
        <v>650</v>
      </c>
      <c r="H424">
        <v>2600</v>
      </c>
      <c r="I424">
        <v>1520</v>
      </c>
      <c r="J424">
        <v>1080</v>
      </c>
    </row>
    <row r="425" spans="1:10" x14ac:dyDescent="0.3">
      <c r="A425" s="2" t="s">
        <v>465</v>
      </c>
      <c r="B425" s="3">
        <v>46001</v>
      </c>
      <c r="C425" s="2" t="s">
        <v>21</v>
      </c>
      <c r="D425" s="2" t="s">
        <v>22</v>
      </c>
      <c r="E425" s="2" t="s">
        <v>40</v>
      </c>
      <c r="F425">
        <v>9</v>
      </c>
      <c r="G425">
        <v>900</v>
      </c>
      <c r="H425">
        <v>8100</v>
      </c>
      <c r="I425">
        <v>4680</v>
      </c>
      <c r="J425">
        <v>3420</v>
      </c>
    </row>
    <row r="426" spans="1:10" x14ac:dyDescent="0.3">
      <c r="A426" s="2" t="s">
        <v>466</v>
      </c>
      <c r="B426" s="3">
        <v>45838</v>
      </c>
      <c r="C426" s="2" t="s">
        <v>14</v>
      </c>
      <c r="D426" s="2" t="s">
        <v>15</v>
      </c>
      <c r="E426" s="2" t="s">
        <v>43</v>
      </c>
      <c r="F426">
        <v>9</v>
      </c>
      <c r="G426">
        <v>665</v>
      </c>
      <c r="H426">
        <v>5985</v>
      </c>
      <c r="I426">
        <v>3690</v>
      </c>
      <c r="J426">
        <v>2295</v>
      </c>
    </row>
    <row r="427" spans="1:10" x14ac:dyDescent="0.3">
      <c r="A427" s="2" t="s">
        <v>467</v>
      </c>
      <c r="B427" s="3">
        <v>45931</v>
      </c>
      <c r="C427" s="2" t="s">
        <v>14</v>
      </c>
      <c r="D427" s="2" t="s">
        <v>22</v>
      </c>
      <c r="E427" s="2" t="s">
        <v>28</v>
      </c>
      <c r="F427">
        <v>7</v>
      </c>
      <c r="G427">
        <v>650</v>
      </c>
      <c r="H427">
        <v>4550</v>
      </c>
      <c r="I427">
        <v>2660</v>
      </c>
      <c r="J427">
        <v>1890</v>
      </c>
    </row>
    <row r="428" spans="1:10" x14ac:dyDescent="0.3">
      <c r="A428" s="2" t="s">
        <v>468</v>
      </c>
      <c r="B428" s="3">
        <v>45802</v>
      </c>
      <c r="C428" s="2" t="s">
        <v>14</v>
      </c>
      <c r="D428" s="2" t="s">
        <v>32</v>
      </c>
      <c r="E428" s="2" t="s">
        <v>55</v>
      </c>
      <c r="F428">
        <v>10</v>
      </c>
      <c r="G428">
        <v>5510</v>
      </c>
      <c r="H428">
        <v>55100</v>
      </c>
      <c r="I428">
        <v>42000</v>
      </c>
      <c r="J428">
        <v>13100</v>
      </c>
    </row>
    <row r="429" spans="1:10" x14ac:dyDescent="0.3">
      <c r="A429" s="2" t="s">
        <v>469</v>
      </c>
      <c r="B429" s="3">
        <v>45734</v>
      </c>
      <c r="C429" s="2" t="s">
        <v>25</v>
      </c>
      <c r="D429" s="2" t="s">
        <v>32</v>
      </c>
      <c r="E429" s="2" t="s">
        <v>35</v>
      </c>
      <c r="F429">
        <v>4</v>
      </c>
      <c r="G429">
        <v>1045</v>
      </c>
      <c r="H429">
        <v>4180</v>
      </c>
      <c r="I429">
        <v>2480</v>
      </c>
      <c r="J429">
        <v>1700</v>
      </c>
    </row>
    <row r="430" spans="1:10" x14ac:dyDescent="0.3">
      <c r="A430" s="2" t="s">
        <v>470</v>
      </c>
      <c r="B430" s="3">
        <v>45795</v>
      </c>
      <c r="C430" s="2" t="s">
        <v>14</v>
      </c>
      <c r="D430" s="2" t="s">
        <v>22</v>
      </c>
      <c r="E430" s="2" t="s">
        <v>28</v>
      </c>
      <c r="F430">
        <v>1</v>
      </c>
      <c r="G430">
        <v>650</v>
      </c>
      <c r="H430">
        <v>650</v>
      </c>
      <c r="I430">
        <v>380</v>
      </c>
      <c r="J430">
        <v>270</v>
      </c>
    </row>
    <row r="431" spans="1:10" x14ac:dyDescent="0.3">
      <c r="A431" s="2" t="s">
        <v>471</v>
      </c>
      <c r="B431" s="3">
        <v>45867</v>
      </c>
      <c r="C431" s="2" t="s">
        <v>42</v>
      </c>
      <c r="D431" s="2" t="s">
        <v>18</v>
      </c>
      <c r="E431" s="2" t="s">
        <v>26</v>
      </c>
      <c r="F431">
        <v>5</v>
      </c>
      <c r="G431">
        <v>162</v>
      </c>
      <c r="H431">
        <v>810</v>
      </c>
      <c r="I431">
        <v>400</v>
      </c>
      <c r="J431">
        <v>410</v>
      </c>
    </row>
    <row r="432" spans="1:10" x14ac:dyDescent="0.3">
      <c r="A432" s="2" t="s">
        <v>472</v>
      </c>
      <c r="B432" s="3">
        <v>45703</v>
      </c>
      <c r="C432" s="2" t="s">
        <v>25</v>
      </c>
      <c r="D432" s="2" t="s">
        <v>18</v>
      </c>
      <c r="E432" s="2" t="s">
        <v>19</v>
      </c>
      <c r="F432">
        <v>8</v>
      </c>
      <c r="G432">
        <v>250</v>
      </c>
      <c r="H432">
        <v>2000</v>
      </c>
      <c r="I432">
        <v>1040</v>
      </c>
      <c r="J432">
        <v>960</v>
      </c>
    </row>
    <row r="433" spans="1:10" x14ac:dyDescent="0.3">
      <c r="A433" s="2" t="s">
        <v>473</v>
      </c>
      <c r="B433" s="3">
        <v>45841</v>
      </c>
      <c r="C433" s="2" t="s">
        <v>21</v>
      </c>
      <c r="D433" s="2" t="s">
        <v>15</v>
      </c>
      <c r="E433" s="2" t="s">
        <v>72</v>
      </c>
      <c r="F433">
        <v>8</v>
      </c>
      <c r="G433">
        <v>1235</v>
      </c>
      <c r="H433">
        <v>9880</v>
      </c>
      <c r="I433">
        <v>6560</v>
      </c>
      <c r="J433">
        <v>3320</v>
      </c>
    </row>
    <row r="434" spans="1:10" x14ac:dyDescent="0.3">
      <c r="A434" s="2" t="s">
        <v>474</v>
      </c>
      <c r="B434" s="3">
        <v>45831</v>
      </c>
      <c r="C434" s="2" t="s">
        <v>37</v>
      </c>
      <c r="D434" s="2" t="s">
        <v>18</v>
      </c>
      <c r="E434" s="2" t="s">
        <v>26</v>
      </c>
      <c r="F434">
        <v>2</v>
      </c>
      <c r="G434">
        <v>180</v>
      </c>
      <c r="H434">
        <v>360</v>
      </c>
      <c r="I434">
        <v>160</v>
      </c>
      <c r="J434">
        <v>200</v>
      </c>
    </row>
    <row r="435" spans="1:10" x14ac:dyDescent="0.3">
      <c r="A435" s="2" t="s">
        <v>475</v>
      </c>
      <c r="B435" s="3">
        <v>46014</v>
      </c>
      <c r="C435" s="2" t="s">
        <v>14</v>
      </c>
      <c r="D435" s="2" t="s">
        <v>32</v>
      </c>
      <c r="E435" s="2" t="s">
        <v>47</v>
      </c>
      <c r="F435">
        <v>1</v>
      </c>
      <c r="G435">
        <v>8500</v>
      </c>
      <c r="H435">
        <v>8500</v>
      </c>
      <c r="I435">
        <v>6500</v>
      </c>
      <c r="J435">
        <v>2000</v>
      </c>
    </row>
    <row r="436" spans="1:10" x14ac:dyDescent="0.3">
      <c r="A436" s="2" t="s">
        <v>476</v>
      </c>
      <c r="B436" s="3">
        <v>45736</v>
      </c>
      <c r="C436" s="2" t="s">
        <v>21</v>
      </c>
      <c r="D436" s="2" t="s">
        <v>32</v>
      </c>
      <c r="E436" s="2" t="s">
        <v>35</v>
      </c>
      <c r="F436">
        <v>5</v>
      </c>
      <c r="G436">
        <v>1100</v>
      </c>
      <c r="H436">
        <v>5500</v>
      </c>
      <c r="I436">
        <v>3100</v>
      </c>
      <c r="J436">
        <v>2400</v>
      </c>
    </row>
    <row r="437" spans="1:10" x14ac:dyDescent="0.3">
      <c r="A437" s="2" t="s">
        <v>477</v>
      </c>
      <c r="B437" s="3">
        <v>45727</v>
      </c>
      <c r="C437" s="2" t="s">
        <v>14</v>
      </c>
      <c r="D437" s="2" t="s">
        <v>15</v>
      </c>
      <c r="E437" s="2" t="s">
        <v>72</v>
      </c>
      <c r="F437">
        <v>9</v>
      </c>
      <c r="G437">
        <v>1300</v>
      </c>
      <c r="H437">
        <v>11700</v>
      </c>
      <c r="I437">
        <v>7380</v>
      </c>
      <c r="J437">
        <v>4320</v>
      </c>
    </row>
    <row r="438" spans="1:10" x14ac:dyDescent="0.3">
      <c r="A438" s="2" t="s">
        <v>478</v>
      </c>
      <c r="B438" s="3">
        <v>45861</v>
      </c>
      <c r="C438" s="2" t="s">
        <v>25</v>
      </c>
      <c r="D438" s="2" t="s">
        <v>18</v>
      </c>
      <c r="E438" s="2" t="s">
        <v>52</v>
      </c>
      <c r="F438">
        <v>7</v>
      </c>
      <c r="G438">
        <v>150</v>
      </c>
      <c r="H438">
        <v>1050</v>
      </c>
      <c r="I438">
        <v>455</v>
      </c>
      <c r="J438">
        <v>595</v>
      </c>
    </row>
    <row r="439" spans="1:10" x14ac:dyDescent="0.3">
      <c r="A439" s="2" t="s">
        <v>479</v>
      </c>
      <c r="B439" s="3">
        <v>46003</v>
      </c>
      <c r="C439" s="2" t="s">
        <v>37</v>
      </c>
      <c r="D439" s="2" t="s">
        <v>32</v>
      </c>
      <c r="E439" s="2" t="s">
        <v>47</v>
      </c>
      <c r="F439">
        <v>11</v>
      </c>
      <c r="G439">
        <v>8500</v>
      </c>
      <c r="H439">
        <v>93500</v>
      </c>
      <c r="I439">
        <v>71500</v>
      </c>
      <c r="J439">
        <v>22000</v>
      </c>
    </row>
    <row r="440" spans="1:10" x14ac:dyDescent="0.3">
      <c r="A440" s="2" t="s">
        <v>480</v>
      </c>
      <c r="B440" s="3">
        <v>45795</v>
      </c>
      <c r="C440" s="2" t="s">
        <v>37</v>
      </c>
      <c r="D440" s="2" t="s">
        <v>15</v>
      </c>
      <c r="E440" s="2" t="s">
        <v>38</v>
      </c>
      <c r="F440">
        <v>10</v>
      </c>
      <c r="G440">
        <v>600</v>
      </c>
      <c r="H440">
        <v>6000</v>
      </c>
      <c r="I440">
        <v>3300</v>
      </c>
      <c r="J440">
        <v>2700</v>
      </c>
    </row>
    <row r="441" spans="1:10" x14ac:dyDescent="0.3">
      <c r="A441" s="2" t="s">
        <v>481</v>
      </c>
      <c r="B441" s="3">
        <v>45819</v>
      </c>
      <c r="C441" s="2" t="s">
        <v>25</v>
      </c>
      <c r="D441" s="2" t="s">
        <v>18</v>
      </c>
      <c r="E441" s="2" t="s">
        <v>65</v>
      </c>
      <c r="F441">
        <v>10</v>
      </c>
      <c r="G441">
        <v>288</v>
      </c>
      <c r="H441">
        <v>2880</v>
      </c>
      <c r="I441">
        <v>2100</v>
      </c>
      <c r="J441">
        <v>780</v>
      </c>
    </row>
    <row r="442" spans="1:10" x14ac:dyDescent="0.3">
      <c r="A442" s="2" t="s">
        <v>482</v>
      </c>
      <c r="B442" s="3">
        <v>45822</v>
      </c>
      <c r="C442" s="2" t="s">
        <v>42</v>
      </c>
      <c r="D442" s="2" t="s">
        <v>22</v>
      </c>
      <c r="E442" s="2" t="s">
        <v>97</v>
      </c>
      <c r="F442">
        <v>5</v>
      </c>
      <c r="G442">
        <v>1800</v>
      </c>
      <c r="H442">
        <v>9000</v>
      </c>
      <c r="I442">
        <v>5750</v>
      </c>
      <c r="J442">
        <v>3250</v>
      </c>
    </row>
    <row r="443" spans="1:10" x14ac:dyDescent="0.3">
      <c r="A443" s="2" t="s">
        <v>483</v>
      </c>
      <c r="B443" s="3">
        <v>45743</v>
      </c>
      <c r="C443" s="2" t="s">
        <v>21</v>
      </c>
      <c r="D443" s="2" t="s">
        <v>15</v>
      </c>
      <c r="E443" s="2" t="s">
        <v>16</v>
      </c>
      <c r="F443">
        <v>3</v>
      </c>
      <c r="G443">
        <v>450</v>
      </c>
      <c r="H443">
        <v>1350</v>
      </c>
      <c r="I443">
        <v>720</v>
      </c>
      <c r="J443">
        <v>630</v>
      </c>
    </row>
    <row r="444" spans="1:10" x14ac:dyDescent="0.3">
      <c r="A444" s="2" t="s">
        <v>484</v>
      </c>
      <c r="B444" s="3">
        <v>46007</v>
      </c>
      <c r="C444" s="2" t="s">
        <v>21</v>
      </c>
      <c r="D444" s="2" t="s">
        <v>22</v>
      </c>
      <c r="E444" s="2" t="s">
        <v>97</v>
      </c>
      <c r="F444">
        <v>11</v>
      </c>
      <c r="G444">
        <v>1800</v>
      </c>
      <c r="H444">
        <v>19800</v>
      </c>
      <c r="I444">
        <v>12650</v>
      </c>
      <c r="J444">
        <v>7150</v>
      </c>
    </row>
    <row r="445" spans="1:10" x14ac:dyDescent="0.3">
      <c r="A445" s="2" t="s">
        <v>485</v>
      </c>
      <c r="B445" s="3">
        <v>45964</v>
      </c>
      <c r="C445" s="2" t="s">
        <v>37</v>
      </c>
      <c r="D445" s="2" t="s">
        <v>18</v>
      </c>
      <c r="E445" s="2" t="s">
        <v>82</v>
      </c>
      <c r="F445">
        <v>2</v>
      </c>
      <c r="G445">
        <v>209</v>
      </c>
      <c r="H445">
        <v>418</v>
      </c>
      <c r="I445">
        <v>240</v>
      </c>
      <c r="J445">
        <v>178</v>
      </c>
    </row>
    <row r="446" spans="1:10" x14ac:dyDescent="0.3">
      <c r="A446" s="2" t="s">
        <v>486</v>
      </c>
      <c r="B446" s="3">
        <v>45818</v>
      </c>
      <c r="C446" s="2" t="s">
        <v>42</v>
      </c>
      <c r="D446" s="2" t="s">
        <v>22</v>
      </c>
      <c r="E446" s="2" t="s">
        <v>45</v>
      </c>
      <c r="F446">
        <v>9</v>
      </c>
      <c r="G446">
        <v>1200</v>
      </c>
      <c r="H446">
        <v>10800</v>
      </c>
      <c r="I446">
        <v>6480</v>
      </c>
      <c r="J446">
        <v>4320</v>
      </c>
    </row>
    <row r="447" spans="1:10" x14ac:dyDescent="0.3">
      <c r="A447" s="2" t="s">
        <v>487</v>
      </c>
      <c r="B447" s="3">
        <v>45664</v>
      </c>
      <c r="C447" s="2" t="s">
        <v>42</v>
      </c>
      <c r="D447" s="2" t="s">
        <v>15</v>
      </c>
      <c r="E447" s="2" t="s">
        <v>16</v>
      </c>
      <c r="F447">
        <v>2</v>
      </c>
      <c r="G447">
        <v>427.5</v>
      </c>
      <c r="H447">
        <v>855</v>
      </c>
      <c r="I447">
        <v>480</v>
      </c>
      <c r="J447">
        <v>375</v>
      </c>
    </row>
    <row r="448" spans="1:10" x14ac:dyDescent="0.3">
      <c r="A448" s="2" t="s">
        <v>488</v>
      </c>
      <c r="B448" s="3">
        <v>45816</v>
      </c>
      <c r="C448" s="2" t="s">
        <v>14</v>
      </c>
      <c r="D448" s="2" t="s">
        <v>22</v>
      </c>
      <c r="E448" s="2" t="s">
        <v>97</v>
      </c>
      <c r="F448">
        <v>6</v>
      </c>
      <c r="G448">
        <v>1800</v>
      </c>
      <c r="H448">
        <v>10800</v>
      </c>
      <c r="I448">
        <v>6900</v>
      </c>
      <c r="J448">
        <v>3900</v>
      </c>
    </row>
    <row r="449" spans="1:10" x14ac:dyDescent="0.3">
      <c r="A449" s="2" t="s">
        <v>489</v>
      </c>
      <c r="B449" s="3">
        <v>45912</v>
      </c>
      <c r="C449" s="2" t="s">
        <v>21</v>
      </c>
      <c r="D449" s="2" t="s">
        <v>18</v>
      </c>
      <c r="E449" s="2" t="s">
        <v>52</v>
      </c>
      <c r="F449">
        <v>10</v>
      </c>
      <c r="G449">
        <v>142.5</v>
      </c>
      <c r="H449">
        <v>1425</v>
      </c>
      <c r="I449">
        <v>650</v>
      </c>
      <c r="J449">
        <v>775</v>
      </c>
    </row>
    <row r="450" spans="1:10" x14ac:dyDescent="0.3">
      <c r="A450" s="2" t="s">
        <v>490</v>
      </c>
      <c r="B450" s="3">
        <v>45663</v>
      </c>
      <c r="C450" s="2" t="s">
        <v>25</v>
      </c>
      <c r="D450" s="2" t="s">
        <v>22</v>
      </c>
      <c r="E450" s="2" t="s">
        <v>45</v>
      </c>
      <c r="F450">
        <v>11</v>
      </c>
      <c r="G450">
        <v>1200</v>
      </c>
      <c r="H450">
        <v>13200</v>
      </c>
      <c r="I450">
        <v>7920</v>
      </c>
      <c r="J450">
        <v>5280</v>
      </c>
    </row>
    <row r="451" spans="1:10" x14ac:dyDescent="0.3">
      <c r="A451" s="2" t="s">
        <v>491</v>
      </c>
      <c r="B451" s="3">
        <v>45813</v>
      </c>
      <c r="C451" s="2" t="s">
        <v>21</v>
      </c>
      <c r="D451" s="2" t="s">
        <v>15</v>
      </c>
      <c r="E451" s="2" t="s">
        <v>49</v>
      </c>
      <c r="F451">
        <v>12</v>
      </c>
      <c r="G451">
        <v>550</v>
      </c>
      <c r="H451">
        <v>6600</v>
      </c>
      <c r="I451">
        <v>3600</v>
      </c>
      <c r="J451">
        <v>3000</v>
      </c>
    </row>
    <row r="452" spans="1:10" x14ac:dyDescent="0.3">
      <c r="A452" s="2" t="s">
        <v>492</v>
      </c>
      <c r="B452" s="3">
        <v>45921</v>
      </c>
      <c r="C452" s="2" t="s">
        <v>21</v>
      </c>
      <c r="D452" s="2" t="s">
        <v>18</v>
      </c>
      <c r="E452" s="2" t="s">
        <v>52</v>
      </c>
      <c r="F452">
        <v>8</v>
      </c>
      <c r="G452">
        <v>135</v>
      </c>
      <c r="H452">
        <v>1080</v>
      </c>
      <c r="I452">
        <v>520</v>
      </c>
      <c r="J452">
        <v>560</v>
      </c>
    </row>
    <row r="453" spans="1:10" x14ac:dyDescent="0.3">
      <c r="A453" s="2" t="s">
        <v>493</v>
      </c>
      <c r="B453" s="3">
        <v>45710</v>
      </c>
      <c r="C453" s="2" t="s">
        <v>25</v>
      </c>
      <c r="D453" s="2" t="s">
        <v>32</v>
      </c>
      <c r="E453" s="2" t="s">
        <v>62</v>
      </c>
      <c r="F453">
        <v>6</v>
      </c>
      <c r="G453">
        <v>3780</v>
      </c>
      <c r="H453">
        <v>22680</v>
      </c>
      <c r="I453">
        <v>17400</v>
      </c>
      <c r="J453">
        <v>5280</v>
      </c>
    </row>
    <row r="454" spans="1:10" x14ac:dyDescent="0.3">
      <c r="A454" s="2" t="s">
        <v>494</v>
      </c>
      <c r="B454" s="3">
        <v>45764</v>
      </c>
      <c r="C454" s="2" t="s">
        <v>14</v>
      </c>
      <c r="D454" s="2" t="s">
        <v>15</v>
      </c>
      <c r="E454" s="2" t="s">
        <v>16</v>
      </c>
      <c r="F454">
        <v>1</v>
      </c>
      <c r="G454">
        <v>427.5</v>
      </c>
      <c r="H454">
        <v>427.5</v>
      </c>
      <c r="I454">
        <v>240</v>
      </c>
      <c r="J454">
        <v>187.5</v>
      </c>
    </row>
    <row r="455" spans="1:10" x14ac:dyDescent="0.3">
      <c r="A455" s="2" t="s">
        <v>495</v>
      </c>
      <c r="B455" s="3">
        <v>45751</v>
      </c>
      <c r="C455" s="2" t="s">
        <v>21</v>
      </c>
      <c r="D455" s="2" t="s">
        <v>18</v>
      </c>
      <c r="E455" s="2" t="s">
        <v>26</v>
      </c>
      <c r="F455">
        <v>12</v>
      </c>
      <c r="G455">
        <v>171</v>
      </c>
      <c r="H455">
        <v>2052</v>
      </c>
      <c r="I455">
        <v>960</v>
      </c>
      <c r="J455">
        <v>1092</v>
      </c>
    </row>
    <row r="456" spans="1:10" x14ac:dyDescent="0.3">
      <c r="A456" s="2" t="s">
        <v>496</v>
      </c>
      <c r="B456" s="3">
        <v>45658</v>
      </c>
      <c r="C456" s="2" t="s">
        <v>14</v>
      </c>
      <c r="D456" s="2" t="s">
        <v>18</v>
      </c>
      <c r="E456" s="2" t="s">
        <v>26</v>
      </c>
      <c r="F456">
        <v>5</v>
      </c>
      <c r="G456">
        <v>171</v>
      </c>
      <c r="H456">
        <v>855</v>
      </c>
      <c r="I456">
        <v>400</v>
      </c>
      <c r="J456">
        <v>455</v>
      </c>
    </row>
    <row r="457" spans="1:10" x14ac:dyDescent="0.3">
      <c r="A457" s="2" t="s">
        <v>497</v>
      </c>
      <c r="B457" s="3">
        <v>45746</v>
      </c>
      <c r="C457" s="2" t="s">
        <v>37</v>
      </c>
      <c r="D457" s="2" t="s">
        <v>22</v>
      </c>
      <c r="E457" s="2" t="s">
        <v>40</v>
      </c>
      <c r="F457">
        <v>8</v>
      </c>
      <c r="G457">
        <v>810</v>
      </c>
      <c r="H457">
        <v>6480</v>
      </c>
      <c r="I457">
        <v>4160</v>
      </c>
      <c r="J457">
        <v>2320</v>
      </c>
    </row>
    <row r="458" spans="1:10" x14ac:dyDescent="0.3">
      <c r="A458" s="2" t="s">
        <v>498</v>
      </c>
      <c r="B458" s="3">
        <v>45983</v>
      </c>
      <c r="C458" s="2" t="s">
        <v>42</v>
      </c>
      <c r="D458" s="2" t="s">
        <v>32</v>
      </c>
      <c r="E458" s="2" t="s">
        <v>62</v>
      </c>
      <c r="F458">
        <v>9</v>
      </c>
      <c r="G458">
        <v>3780</v>
      </c>
      <c r="H458">
        <v>34020</v>
      </c>
      <c r="I458">
        <v>26100</v>
      </c>
      <c r="J458">
        <v>7920</v>
      </c>
    </row>
    <row r="459" spans="1:10" x14ac:dyDescent="0.3">
      <c r="A459" s="2" t="s">
        <v>499</v>
      </c>
      <c r="B459" s="3">
        <v>45697</v>
      </c>
      <c r="C459" s="2" t="s">
        <v>25</v>
      </c>
      <c r="D459" s="2" t="s">
        <v>22</v>
      </c>
      <c r="E459" s="2" t="s">
        <v>45</v>
      </c>
      <c r="F459">
        <v>1</v>
      </c>
      <c r="G459">
        <v>1200</v>
      </c>
      <c r="H459">
        <v>1200</v>
      </c>
      <c r="I459">
        <v>720</v>
      </c>
      <c r="J459">
        <v>480</v>
      </c>
    </row>
    <row r="460" spans="1:10" x14ac:dyDescent="0.3">
      <c r="A460" s="2" t="s">
        <v>500</v>
      </c>
      <c r="B460" s="3">
        <v>45775</v>
      </c>
      <c r="C460" s="2" t="s">
        <v>14</v>
      </c>
      <c r="D460" s="2" t="s">
        <v>18</v>
      </c>
      <c r="E460" s="2" t="s">
        <v>52</v>
      </c>
      <c r="F460">
        <v>2</v>
      </c>
      <c r="G460">
        <v>150</v>
      </c>
      <c r="H460">
        <v>300</v>
      </c>
      <c r="I460">
        <v>130</v>
      </c>
      <c r="J460">
        <v>170</v>
      </c>
    </row>
    <row r="461" spans="1:10" x14ac:dyDescent="0.3">
      <c r="A461" s="2" t="s">
        <v>501</v>
      </c>
      <c r="B461" s="3">
        <v>45828</v>
      </c>
      <c r="C461" s="2" t="s">
        <v>21</v>
      </c>
      <c r="D461" s="2" t="s">
        <v>22</v>
      </c>
      <c r="E461" s="2" t="s">
        <v>97</v>
      </c>
      <c r="F461">
        <v>10</v>
      </c>
      <c r="G461">
        <v>1800</v>
      </c>
      <c r="H461">
        <v>18000</v>
      </c>
      <c r="I461">
        <v>11500</v>
      </c>
      <c r="J461">
        <v>6500</v>
      </c>
    </row>
    <row r="462" spans="1:10" x14ac:dyDescent="0.3">
      <c r="A462" s="2" t="s">
        <v>502</v>
      </c>
      <c r="B462" s="3">
        <v>45915</v>
      </c>
      <c r="C462" s="2" t="s">
        <v>37</v>
      </c>
      <c r="D462" s="2" t="s">
        <v>15</v>
      </c>
      <c r="E462" s="2" t="s">
        <v>16</v>
      </c>
      <c r="F462">
        <v>5</v>
      </c>
      <c r="G462">
        <v>405</v>
      </c>
      <c r="H462">
        <v>2025</v>
      </c>
      <c r="I462">
        <v>1200</v>
      </c>
      <c r="J462">
        <v>825</v>
      </c>
    </row>
    <row r="463" spans="1:10" x14ac:dyDescent="0.3">
      <c r="A463" s="2" t="s">
        <v>503</v>
      </c>
      <c r="B463" s="3">
        <v>45971</v>
      </c>
      <c r="C463" s="2" t="s">
        <v>21</v>
      </c>
      <c r="D463" s="2" t="s">
        <v>22</v>
      </c>
      <c r="E463" s="2" t="s">
        <v>45</v>
      </c>
      <c r="F463">
        <v>6</v>
      </c>
      <c r="G463">
        <v>1200</v>
      </c>
      <c r="H463">
        <v>7200</v>
      </c>
      <c r="I463">
        <v>4320</v>
      </c>
      <c r="J463">
        <v>2880</v>
      </c>
    </row>
    <row r="464" spans="1:10" x14ac:dyDescent="0.3">
      <c r="A464" s="2" t="s">
        <v>504</v>
      </c>
      <c r="B464" s="3">
        <v>45955</v>
      </c>
      <c r="C464" s="2" t="s">
        <v>21</v>
      </c>
      <c r="D464" s="2" t="s">
        <v>15</v>
      </c>
      <c r="E464" s="2" t="s">
        <v>49</v>
      </c>
      <c r="F464">
        <v>8</v>
      </c>
      <c r="G464">
        <v>550</v>
      </c>
      <c r="H464">
        <v>4400</v>
      </c>
      <c r="I464">
        <v>2400</v>
      </c>
      <c r="J464">
        <v>2000</v>
      </c>
    </row>
    <row r="465" spans="1:10" x14ac:dyDescent="0.3">
      <c r="A465" s="2" t="s">
        <v>505</v>
      </c>
      <c r="B465" s="3">
        <v>45799</v>
      </c>
      <c r="C465" s="2" t="s">
        <v>37</v>
      </c>
      <c r="D465" s="2" t="s">
        <v>18</v>
      </c>
      <c r="E465" s="2" t="s">
        <v>52</v>
      </c>
      <c r="F465">
        <v>6</v>
      </c>
      <c r="G465">
        <v>135</v>
      </c>
      <c r="H465">
        <v>810</v>
      </c>
      <c r="I465">
        <v>390</v>
      </c>
      <c r="J465">
        <v>420</v>
      </c>
    </row>
    <row r="466" spans="1:10" x14ac:dyDescent="0.3">
      <c r="A466" s="2" t="s">
        <v>506</v>
      </c>
      <c r="B466" s="3">
        <v>45806</v>
      </c>
      <c r="C466" s="2" t="s">
        <v>42</v>
      </c>
      <c r="D466" s="2" t="s">
        <v>15</v>
      </c>
      <c r="E466" s="2" t="s">
        <v>43</v>
      </c>
      <c r="F466">
        <v>4</v>
      </c>
      <c r="G466">
        <v>630</v>
      </c>
      <c r="H466">
        <v>2520</v>
      </c>
      <c r="I466">
        <v>1640</v>
      </c>
      <c r="J466">
        <v>880</v>
      </c>
    </row>
    <row r="467" spans="1:10" x14ac:dyDescent="0.3">
      <c r="A467" s="2" t="s">
        <v>507</v>
      </c>
      <c r="B467" s="3">
        <v>45839</v>
      </c>
      <c r="C467" s="2" t="s">
        <v>42</v>
      </c>
      <c r="D467" s="2" t="s">
        <v>32</v>
      </c>
      <c r="E467" s="2" t="s">
        <v>35</v>
      </c>
      <c r="F467">
        <v>4</v>
      </c>
      <c r="G467">
        <v>1100</v>
      </c>
      <c r="H467">
        <v>4400</v>
      </c>
      <c r="I467">
        <v>2480</v>
      </c>
      <c r="J467">
        <v>1920</v>
      </c>
    </row>
    <row r="468" spans="1:10" x14ac:dyDescent="0.3">
      <c r="A468" s="2" t="s">
        <v>508</v>
      </c>
      <c r="B468" s="3">
        <v>45663</v>
      </c>
      <c r="C468" s="2" t="s">
        <v>21</v>
      </c>
      <c r="D468" s="2" t="s">
        <v>22</v>
      </c>
      <c r="E468" s="2" t="s">
        <v>97</v>
      </c>
      <c r="F468">
        <v>10</v>
      </c>
      <c r="G468">
        <v>1710</v>
      </c>
      <c r="H468">
        <v>17100</v>
      </c>
      <c r="I468">
        <v>11500</v>
      </c>
      <c r="J468">
        <v>5600</v>
      </c>
    </row>
    <row r="469" spans="1:10" x14ac:dyDescent="0.3">
      <c r="A469" s="2" t="s">
        <v>509</v>
      </c>
      <c r="B469" s="3">
        <v>45954</v>
      </c>
      <c r="C469" s="2" t="s">
        <v>14</v>
      </c>
      <c r="D469" s="2" t="s">
        <v>15</v>
      </c>
      <c r="E469" s="2" t="s">
        <v>16</v>
      </c>
      <c r="F469">
        <v>4</v>
      </c>
      <c r="G469">
        <v>450</v>
      </c>
      <c r="H469">
        <v>1800</v>
      </c>
      <c r="I469">
        <v>960</v>
      </c>
      <c r="J469">
        <v>840</v>
      </c>
    </row>
    <row r="470" spans="1:10" x14ac:dyDescent="0.3">
      <c r="A470" s="2" t="s">
        <v>510</v>
      </c>
      <c r="B470" s="3">
        <v>45899</v>
      </c>
      <c r="C470" s="2" t="s">
        <v>25</v>
      </c>
      <c r="D470" s="2" t="s">
        <v>15</v>
      </c>
      <c r="E470" s="2" t="s">
        <v>72</v>
      </c>
      <c r="F470">
        <v>1</v>
      </c>
      <c r="G470">
        <v>1300</v>
      </c>
      <c r="H470">
        <v>1300</v>
      </c>
      <c r="I470">
        <v>820</v>
      </c>
      <c r="J470">
        <v>480</v>
      </c>
    </row>
    <row r="471" spans="1:10" x14ac:dyDescent="0.3">
      <c r="A471" s="2" t="s">
        <v>511</v>
      </c>
      <c r="B471" s="3">
        <v>45756</v>
      </c>
      <c r="C471" s="2" t="s">
        <v>14</v>
      </c>
      <c r="D471" s="2" t="s">
        <v>32</v>
      </c>
      <c r="E471" s="2" t="s">
        <v>35</v>
      </c>
      <c r="F471">
        <v>1</v>
      </c>
      <c r="G471">
        <v>990</v>
      </c>
      <c r="H471">
        <v>990</v>
      </c>
      <c r="I471">
        <v>620</v>
      </c>
      <c r="J471">
        <v>370</v>
      </c>
    </row>
    <row r="472" spans="1:10" x14ac:dyDescent="0.3">
      <c r="A472" s="2" t="s">
        <v>512</v>
      </c>
      <c r="B472" s="3">
        <v>45772</v>
      </c>
      <c r="C472" s="2" t="s">
        <v>14</v>
      </c>
      <c r="D472" s="2" t="s">
        <v>15</v>
      </c>
      <c r="E472" s="2" t="s">
        <v>43</v>
      </c>
      <c r="F472">
        <v>1</v>
      </c>
      <c r="G472">
        <v>700</v>
      </c>
      <c r="H472">
        <v>700</v>
      </c>
      <c r="I472">
        <v>410</v>
      </c>
      <c r="J472">
        <v>290</v>
      </c>
    </row>
    <row r="473" spans="1:10" x14ac:dyDescent="0.3">
      <c r="A473" s="2" t="s">
        <v>513</v>
      </c>
      <c r="B473" s="3">
        <v>45768</v>
      </c>
      <c r="C473" s="2" t="s">
        <v>42</v>
      </c>
      <c r="D473" s="2" t="s">
        <v>15</v>
      </c>
      <c r="E473" s="2" t="s">
        <v>72</v>
      </c>
      <c r="F473">
        <v>2</v>
      </c>
      <c r="G473">
        <v>1235</v>
      </c>
      <c r="H473">
        <v>2470</v>
      </c>
      <c r="I473">
        <v>1640</v>
      </c>
      <c r="J473">
        <v>830</v>
      </c>
    </row>
    <row r="474" spans="1:10" x14ac:dyDescent="0.3">
      <c r="A474" s="2" t="s">
        <v>514</v>
      </c>
      <c r="B474" s="3">
        <v>45694</v>
      </c>
      <c r="C474" s="2" t="s">
        <v>37</v>
      </c>
      <c r="D474" s="2" t="s">
        <v>18</v>
      </c>
      <c r="E474" s="2" t="s">
        <v>26</v>
      </c>
      <c r="F474">
        <v>11</v>
      </c>
      <c r="G474">
        <v>162</v>
      </c>
      <c r="H474">
        <v>1782</v>
      </c>
      <c r="I474">
        <v>880</v>
      </c>
      <c r="J474">
        <v>902</v>
      </c>
    </row>
    <row r="475" spans="1:10" x14ac:dyDescent="0.3">
      <c r="A475" s="2" t="s">
        <v>515</v>
      </c>
      <c r="B475" s="3">
        <v>45952</v>
      </c>
      <c r="C475" s="2" t="s">
        <v>25</v>
      </c>
      <c r="D475" s="2" t="s">
        <v>15</v>
      </c>
      <c r="E475" s="2" t="s">
        <v>72</v>
      </c>
      <c r="F475">
        <v>9</v>
      </c>
      <c r="G475">
        <v>1300</v>
      </c>
      <c r="H475">
        <v>11700</v>
      </c>
      <c r="I475">
        <v>7380</v>
      </c>
      <c r="J475">
        <v>4320</v>
      </c>
    </row>
    <row r="476" spans="1:10" x14ac:dyDescent="0.3">
      <c r="A476" s="2" t="s">
        <v>516</v>
      </c>
      <c r="B476" s="3">
        <v>45760</v>
      </c>
      <c r="C476" s="2" t="s">
        <v>21</v>
      </c>
      <c r="D476" s="2" t="s">
        <v>15</v>
      </c>
      <c r="E476" s="2" t="s">
        <v>49</v>
      </c>
      <c r="F476">
        <v>1</v>
      </c>
      <c r="G476">
        <v>550</v>
      </c>
      <c r="H476">
        <v>550</v>
      </c>
      <c r="I476">
        <v>300</v>
      </c>
      <c r="J476">
        <v>250</v>
      </c>
    </row>
    <row r="477" spans="1:10" x14ac:dyDescent="0.3">
      <c r="A477" s="2" t="s">
        <v>517</v>
      </c>
      <c r="B477" s="3">
        <v>45733</v>
      </c>
      <c r="C477" s="2" t="s">
        <v>25</v>
      </c>
      <c r="D477" s="2" t="s">
        <v>18</v>
      </c>
      <c r="E477" s="2" t="s">
        <v>19</v>
      </c>
      <c r="F477">
        <v>7</v>
      </c>
      <c r="G477">
        <v>237.5</v>
      </c>
      <c r="H477">
        <v>1662.5</v>
      </c>
      <c r="I477">
        <v>910</v>
      </c>
      <c r="J477">
        <v>752.5</v>
      </c>
    </row>
    <row r="478" spans="1:10" x14ac:dyDescent="0.3">
      <c r="A478" s="2" t="s">
        <v>518</v>
      </c>
      <c r="B478" s="3">
        <v>45859</v>
      </c>
      <c r="C478" s="2" t="s">
        <v>14</v>
      </c>
      <c r="D478" s="2" t="s">
        <v>32</v>
      </c>
      <c r="E478" s="2" t="s">
        <v>33</v>
      </c>
      <c r="F478">
        <v>4</v>
      </c>
      <c r="G478">
        <v>6200</v>
      </c>
      <c r="H478">
        <v>24800</v>
      </c>
      <c r="I478">
        <v>18000</v>
      </c>
      <c r="J478">
        <v>6800</v>
      </c>
    </row>
    <row r="479" spans="1:10" x14ac:dyDescent="0.3">
      <c r="A479" s="2" t="s">
        <v>519</v>
      </c>
      <c r="B479" s="3">
        <v>45768</v>
      </c>
      <c r="C479" s="2" t="s">
        <v>14</v>
      </c>
      <c r="D479" s="2" t="s">
        <v>18</v>
      </c>
      <c r="E479" s="2" t="s">
        <v>52</v>
      </c>
      <c r="F479">
        <v>6</v>
      </c>
      <c r="G479">
        <v>150</v>
      </c>
      <c r="H479">
        <v>900</v>
      </c>
      <c r="I479">
        <v>390</v>
      </c>
      <c r="J479">
        <v>510</v>
      </c>
    </row>
    <row r="480" spans="1:10" x14ac:dyDescent="0.3">
      <c r="A480" s="2" t="s">
        <v>520</v>
      </c>
      <c r="B480" s="3">
        <v>45982</v>
      </c>
      <c r="C480" s="2" t="s">
        <v>42</v>
      </c>
      <c r="D480" s="2" t="s">
        <v>32</v>
      </c>
      <c r="E480" s="2" t="s">
        <v>33</v>
      </c>
      <c r="F480">
        <v>4</v>
      </c>
      <c r="G480">
        <v>6200</v>
      </c>
      <c r="H480">
        <v>24800</v>
      </c>
      <c r="I480">
        <v>18000</v>
      </c>
      <c r="J480">
        <v>6800</v>
      </c>
    </row>
    <row r="481" spans="1:10" x14ac:dyDescent="0.3">
      <c r="A481" s="2" t="s">
        <v>521</v>
      </c>
      <c r="B481" s="3">
        <v>45834</v>
      </c>
      <c r="C481" s="2" t="s">
        <v>14</v>
      </c>
      <c r="D481" s="2" t="s">
        <v>15</v>
      </c>
      <c r="E481" s="2" t="s">
        <v>72</v>
      </c>
      <c r="F481">
        <v>7</v>
      </c>
      <c r="G481">
        <v>1235</v>
      </c>
      <c r="H481">
        <v>8645</v>
      </c>
      <c r="I481">
        <v>5740</v>
      </c>
      <c r="J481">
        <v>2905</v>
      </c>
    </row>
    <row r="482" spans="1:10" x14ac:dyDescent="0.3">
      <c r="A482" s="2" t="s">
        <v>522</v>
      </c>
      <c r="B482" s="3">
        <v>45941</v>
      </c>
      <c r="C482" s="2" t="s">
        <v>21</v>
      </c>
      <c r="D482" s="2" t="s">
        <v>18</v>
      </c>
      <c r="E482" s="2" t="s">
        <v>82</v>
      </c>
      <c r="F482">
        <v>4</v>
      </c>
      <c r="G482">
        <v>220</v>
      </c>
      <c r="H482">
        <v>880</v>
      </c>
      <c r="I482">
        <v>480</v>
      </c>
      <c r="J482">
        <v>400</v>
      </c>
    </row>
    <row r="483" spans="1:10" x14ac:dyDescent="0.3">
      <c r="A483" s="2" t="s">
        <v>523</v>
      </c>
      <c r="B483" s="3">
        <v>45846</v>
      </c>
      <c r="C483" s="2" t="s">
        <v>21</v>
      </c>
      <c r="D483" s="2" t="s">
        <v>32</v>
      </c>
      <c r="E483" s="2" t="s">
        <v>33</v>
      </c>
      <c r="F483">
        <v>4</v>
      </c>
      <c r="G483">
        <v>6200</v>
      </c>
      <c r="H483">
        <v>24800</v>
      </c>
      <c r="I483">
        <v>18000</v>
      </c>
      <c r="J483">
        <v>6800</v>
      </c>
    </row>
    <row r="484" spans="1:10" x14ac:dyDescent="0.3">
      <c r="A484" s="2" t="s">
        <v>524</v>
      </c>
      <c r="B484" s="3">
        <v>45694</v>
      </c>
      <c r="C484" s="2" t="s">
        <v>21</v>
      </c>
      <c r="D484" s="2" t="s">
        <v>18</v>
      </c>
      <c r="E484" s="2" t="s">
        <v>52</v>
      </c>
      <c r="F484">
        <v>3</v>
      </c>
      <c r="G484">
        <v>150</v>
      </c>
      <c r="H484">
        <v>450</v>
      </c>
      <c r="I484">
        <v>195</v>
      </c>
      <c r="J484">
        <v>255</v>
      </c>
    </row>
    <row r="485" spans="1:10" x14ac:dyDescent="0.3">
      <c r="A485" s="2" t="s">
        <v>525</v>
      </c>
      <c r="B485" s="3">
        <v>45737</v>
      </c>
      <c r="C485" s="2" t="s">
        <v>42</v>
      </c>
      <c r="D485" s="2" t="s">
        <v>18</v>
      </c>
      <c r="E485" s="2" t="s">
        <v>19</v>
      </c>
      <c r="F485">
        <v>6</v>
      </c>
      <c r="G485">
        <v>250</v>
      </c>
      <c r="H485">
        <v>1500</v>
      </c>
      <c r="I485">
        <v>780</v>
      </c>
      <c r="J485">
        <v>720</v>
      </c>
    </row>
    <row r="486" spans="1:10" x14ac:dyDescent="0.3">
      <c r="A486" s="2" t="s">
        <v>526</v>
      </c>
      <c r="B486" s="3">
        <v>45934</v>
      </c>
      <c r="C486" s="2" t="s">
        <v>14</v>
      </c>
      <c r="D486" s="2" t="s">
        <v>32</v>
      </c>
      <c r="E486" s="2" t="s">
        <v>33</v>
      </c>
      <c r="F486">
        <v>2</v>
      </c>
      <c r="G486">
        <v>6200</v>
      </c>
      <c r="H486">
        <v>12400</v>
      </c>
      <c r="I486">
        <v>9000</v>
      </c>
      <c r="J486">
        <v>3400</v>
      </c>
    </row>
    <row r="487" spans="1:10" x14ac:dyDescent="0.3">
      <c r="A487" s="2" t="s">
        <v>527</v>
      </c>
      <c r="B487" s="3">
        <v>45988</v>
      </c>
      <c r="C487" s="2" t="s">
        <v>14</v>
      </c>
      <c r="D487" s="2" t="s">
        <v>22</v>
      </c>
      <c r="E487" s="2" t="s">
        <v>23</v>
      </c>
      <c r="F487">
        <v>2</v>
      </c>
      <c r="G487">
        <v>9025</v>
      </c>
      <c r="H487">
        <v>18050</v>
      </c>
      <c r="I487">
        <v>15200</v>
      </c>
      <c r="J487">
        <v>2850</v>
      </c>
    </row>
    <row r="488" spans="1:10" x14ac:dyDescent="0.3">
      <c r="A488" s="2" t="s">
        <v>528</v>
      </c>
      <c r="B488" s="3">
        <v>45799</v>
      </c>
      <c r="C488" s="2" t="s">
        <v>21</v>
      </c>
      <c r="D488" s="2" t="s">
        <v>18</v>
      </c>
      <c r="E488" s="2" t="s">
        <v>52</v>
      </c>
      <c r="F488">
        <v>9</v>
      </c>
      <c r="G488">
        <v>142.5</v>
      </c>
      <c r="H488">
        <v>1282.5</v>
      </c>
      <c r="I488">
        <v>585</v>
      </c>
      <c r="J488">
        <v>697.5</v>
      </c>
    </row>
    <row r="489" spans="1:10" x14ac:dyDescent="0.3">
      <c r="A489" s="2" t="s">
        <v>529</v>
      </c>
      <c r="B489" s="3">
        <v>45808</v>
      </c>
      <c r="C489" s="2" t="s">
        <v>21</v>
      </c>
      <c r="D489" s="2" t="s">
        <v>22</v>
      </c>
      <c r="E489" s="2" t="s">
        <v>97</v>
      </c>
      <c r="F489">
        <v>9</v>
      </c>
      <c r="G489">
        <v>1710</v>
      </c>
      <c r="H489">
        <v>15390</v>
      </c>
      <c r="I489">
        <v>10350</v>
      </c>
      <c r="J489">
        <v>5040</v>
      </c>
    </row>
    <row r="490" spans="1:10" x14ac:dyDescent="0.3">
      <c r="A490" s="2" t="s">
        <v>530</v>
      </c>
      <c r="B490" s="3">
        <v>45852</v>
      </c>
      <c r="C490" s="2" t="s">
        <v>21</v>
      </c>
      <c r="D490" s="2" t="s">
        <v>32</v>
      </c>
      <c r="E490" s="2" t="s">
        <v>62</v>
      </c>
      <c r="F490">
        <v>8</v>
      </c>
      <c r="G490">
        <v>3990</v>
      </c>
      <c r="H490">
        <v>31920</v>
      </c>
      <c r="I490">
        <v>23200</v>
      </c>
      <c r="J490">
        <v>8720</v>
      </c>
    </row>
    <row r="491" spans="1:10" x14ac:dyDescent="0.3">
      <c r="A491" s="2" t="s">
        <v>531</v>
      </c>
      <c r="B491" s="3">
        <v>45895</v>
      </c>
      <c r="C491" s="2" t="s">
        <v>37</v>
      </c>
      <c r="D491" s="2" t="s">
        <v>32</v>
      </c>
      <c r="E491" s="2" t="s">
        <v>33</v>
      </c>
      <c r="F491">
        <v>12</v>
      </c>
      <c r="G491">
        <v>5580</v>
      </c>
      <c r="H491">
        <v>66960</v>
      </c>
      <c r="I491">
        <v>54000</v>
      </c>
      <c r="J491">
        <v>12960</v>
      </c>
    </row>
    <row r="492" spans="1:10" x14ac:dyDescent="0.3">
      <c r="A492" s="2" t="s">
        <v>532</v>
      </c>
      <c r="B492" s="3">
        <v>45866</v>
      </c>
      <c r="C492" s="2" t="s">
        <v>14</v>
      </c>
      <c r="D492" s="2" t="s">
        <v>15</v>
      </c>
      <c r="E492" s="2" t="s">
        <v>16</v>
      </c>
      <c r="F492">
        <v>2</v>
      </c>
      <c r="G492">
        <v>450</v>
      </c>
      <c r="H492">
        <v>900</v>
      </c>
      <c r="I492">
        <v>480</v>
      </c>
      <c r="J492">
        <v>420</v>
      </c>
    </row>
    <row r="493" spans="1:10" x14ac:dyDescent="0.3">
      <c r="A493" s="2" t="s">
        <v>533</v>
      </c>
      <c r="B493" s="3">
        <v>45828</v>
      </c>
      <c r="C493" s="2" t="s">
        <v>37</v>
      </c>
      <c r="D493" s="2" t="s">
        <v>22</v>
      </c>
      <c r="E493" s="2" t="s">
        <v>28</v>
      </c>
      <c r="F493">
        <v>10</v>
      </c>
      <c r="G493">
        <v>650</v>
      </c>
      <c r="H493">
        <v>6500</v>
      </c>
      <c r="I493">
        <v>3800</v>
      </c>
      <c r="J493">
        <v>2700</v>
      </c>
    </row>
    <row r="494" spans="1:10" x14ac:dyDescent="0.3">
      <c r="A494" s="2" t="s">
        <v>534</v>
      </c>
      <c r="B494" s="3">
        <v>45705</v>
      </c>
      <c r="C494" s="2" t="s">
        <v>37</v>
      </c>
      <c r="D494" s="2" t="s">
        <v>15</v>
      </c>
      <c r="E494" s="2" t="s">
        <v>49</v>
      </c>
      <c r="F494">
        <v>11</v>
      </c>
      <c r="G494">
        <v>550</v>
      </c>
      <c r="H494">
        <v>6050</v>
      </c>
      <c r="I494">
        <v>3300</v>
      </c>
      <c r="J494">
        <v>2750</v>
      </c>
    </row>
    <row r="495" spans="1:10" x14ac:dyDescent="0.3">
      <c r="A495" s="2" t="s">
        <v>535</v>
      </c>
      <c r="B495" s="3">
        <v>45761</v>
      </c>
      <c r="C495" s="2" t="s">
        <v>42</v>
      </c>
      <c r="D495" s="2" t="s">
        <v>18</v>
      </c>
      <c r="E495" s="2" t="s">
        <v>65</v>
      </c>
      <c r="F495">
        <v>10</v>
      </c>
      <c r="G495">
        <v>320</v>
      </c>
      <c r="H495">
        <v>3200</v>
      </c>
      <c r="I495">
        <v>2100</v>
      </c>
      <c r="J495">
        <v>1100</v>
      </c>
    </row>
    <row r="496" spans="1:10" x14ac:dyDescent="0.3">
      <c r="A496" s="2" t="s">
        <v>536</v>
      </c>
      <c r="B496" s="3">
        <v>46002</v>
      </c>
      <c r="C496" s="2" t="s">
        <v>37</v>
      </c>
      <c r="D496" s="2" t="s">
        <v>22</v>
      </c>
      <c r="E496" s="2" t="s">
        <v>45</v>
      </c>
      <c r="F496">
        <v>1</v>
      </c>
      <c r="G496">
        <v>1200</v>
      </c>
      <c r="H496">
        <v>1200</v>
      </c>
      <c r="I496">
        <v>720</v>
      </c>
      <c r="J496">
        <v>480</v>
      </c>
    </row>
    <row r="497" spans="1:10" x14ac:dyDescent="0.3">
      <c r="A497" s="2" t="s">
        <v>537</v>
      </c>
      <c r="B497" s="3">
        <v>45962</v>
      </c>
      <c r="C497" s="2" t="s">
        <v>21</v>
      </c>
      <c r="D497" s="2" t="s">
        <v>18</v>
      </c>
      <c r="E497" s="2" t="s">
        <v>82</v>
      </c>
      <c r="F497">
        <v>12</v>
      </c>
      <c r="G497">
        <v>209</v>
      </c>
      <c r="H497">
        <v>2508</v>
      </c>
      <c r="I497">
        <v>1440</v>
      </c>
      <c r="J497">
        <v>1068</v>
      </c>
    </row>
    <row r="498" spans="1:10" x14ac:dyDescent="0.3">
      <c r="A498" s="2" t="s">
        <v>538</v>
      </c>
      <c r="B498" s="3">
        <v>45856</v>
      </c>
      <c r="C498" s="2" t="s">
        <v>25</v>
      </c>
      <c r="D498" s="2" t="s">
        <v>15</v>
      </c>
      <c r="E498" s="2" t="s">
        <v>49</v>
      </c>
      <c r="F498">
        <v>1</v>
      </c>
      <c r="G498">
        <v>550</v>
      </c>
      <c r="H498">
        <v>550</v>
      </c>
      <c r="I498">
        <v>300</v>
      </c>
      <c r="J498">
        <v>250</v>
      </c>
    </row>
    <row r="499" spans="1:10" x14ac:dyDescent="0.3">
      <c r="A499" s="2" t="s">
        <v>539</v>
      </c>
      <c r="B499" s="3">
        <v>45966</v>
      </c>
      <c r="C499" s="2" t="s">
        <v>21</v>
      </c>
      <c r="D499" s="2" t="s">
        <v>22</v>
      </c>
      <c r="E499" s="2" t="s">
        <v>97</v>
      </c>
      <c r="F499">
        <v>9</v>
      </c>
      <c r="G499">
        <v>1710</v>
      </c>
      <c r="H499">
        <v>15390</v>
      </c>
      <c r="I499">
        <v>10350</v>
      </c>
      <c r="J499">
        <v>5040</v>
      </c>
    </row>
    <row r="500" spans="1:10" x14ac:dyDescent="0.3">
      <c r="A500" s="2" t="s">
        <v>540</v>
      </c>
      <c r="B500" s="3">
        <v>45835</v>
      </c>
      <c r="C500" s="2" t="s">
        <v>42</v>
      </c>
      <c r="D500" s="2" t="s">
        <v>22</v>
      </c>
      <c r="E500" s="2" t="s">
        <v>97</v>
      </c>
      <c r="F500">
        <v>1</v>
      </c>
      <c r="G500">
        <v>1800</v>
      </c>
      <c r="H500">
        <v>1800</v>
      </c>
      <c r="I500">
        <v>1150</v>
      </c>
      <c r="J500">
        <v>650</v>
      </c>
    </row>
    <row r="501" spans="1:10" x14ac:dyDescent="0.3">
      <c r="A501" s="2" t="s">
        <v>541</v>
      </c>
      <c r="B501" s="3">
        <v>46018</v>
      </c>
      <c r="C501" s="2" t="s">
        <v>37</v>
      </c>
      <c r="D501" s="2" t="s">
        <v>32</v>
      </c>
      <c r="E501" s="2" t="s">
        <v>62</v>
      </c>
      <c r="F501">
        <v>4</v>
      </c>
      <c r="G501">
        <v>3780</v>
      </c>
      <c r="H501">
        <v>15120</v>
      </c>
      <c r="I501">
        <v>11600</v>
      </c>
      <c r="J501">
        <v>3520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965E-2545-4023-8243-DA68D02C498A}">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6EE2-C627-461F-85E3-579B1A46008B}">
  <dimension ref="A1:V27"/>
  <sheetViews>
    <sheetView tabSelected="1" zoomScale="71" workbookViewId="0">
      <selection activeCell="A2" sqref="A2:Q3"/>
    </sheetView>
  </sheetViews>
  <sheetFormatPr defaultRowHeight="14.4" x14ac:dyDescent="0.3"/>
  <cols>
    <col min="1" max="1" width="12.5546875" bestFit="1" customWidth="1"/>
    <col min="2" max="2" width="11.6640625" bestFit="1" customWidth="1"/>
    <col min="3" max="3" width="13.77734375" bestFit="1" customWidth="1"/>
    <col min="4" max="4" width="12.33203125" bestFit="1" customWidth="1"/>
    <col min="5" max="5" width="11.6640625" bestFit="1" customWidth="1"/>
    <col min="6" max="6" width="13.77734375" bestFit="1" customWidth="1"/>
    <col min="7" max="7" width="11.6640625" bestFit="1" customWidth="1"/>
    <col min="8" max="8" width="13.77734375" bestFit="1" customWidth="1"/>
    <col min="9" max="9" width="11.6640625" bestFit="1" customWidth="1"/>
    <col min="10" max="10" width="13.77734375" bestFit="1" customWidth="1"/>
    <col min="11" max="11" width="12.33203125" bestFit="1" customWidth="1"/>
  </cols>
  <sheetData>
    <row r="1" spans="1:17" ht="25.8" customHeight="1" x14ac:dyDescent="0.6">
      <c r="A1" s="10" t="s">
        <v>0</v>
      </c>
      <c r="B1" s="10"/>
      <c r="C1" s="10"/>
      <c r="D1" s="10"/>
      <c r="E1" s="10"/>
      <c r="F1" s="10"/>
      <c r="G1" s="10"/>
      <c r="H1" s="10"/>
      <c r="I1" s="10"/>
      <c r="J1" s="10"/>
      <c r="K1" s="10"/>
      <c r="L1" s="10"/>
      <c r="M1" s="10"/>
      <c r="N1" s="10"/>
      <c r="O1" s="10"/>
      <c r="P1" s="10"/>
      <c r="Q1" s="10"/>
    </row>
    <row r="2" spans="1:17" ht="15.6" customHeight="1" x14ac:dyDescent="0.3">
      <c r="A2" s="9" t="s">
        <v>1</v>
      </c>
      <c r="B2" s="9"/>
      <c r="C2" s="9"/>
      <c r="D2" s="9"/>
      <c r="E2" s="9"/>
      <c r="F2" s="9"/>
      <c r="G2" s="9"/>
      <c r="H2" s="9"/>
      <c r="I2" s="9"/>
      <c r="J2" s="9"/>
      <c r="K2" s="9"/>
      <c r="L2" s="9"/>
      <c r="M2" s="9"/>
      <c r="N2" s="9"/>
      <c r="O2" s="9"/>
      <c r="P2" s="9"/>
      <c r="Q2" s="9"/>
    </row>
    <row r="3" spans="1:17" ht="14.4" customHeight="1" x14ac:dyDescent="0.3">
      <c r="A3" s="9"/>
      <c r="B3" s="9"/>
      <c r="C3" s="9"/>
      <c r="D3" s="9"/>
      <c r="E3" s="9"/>
      <c r="F3" s="9"/>
      <c r="G3" s="9"/>
      <c r="H3" s="9"/>
      <c r="I3" s="9"/>
      <c r="J3" s="9"/>
      <c r="K3" s="9"/>
      <c r="L3" s="9"/>
      <c r="M3" s="9"/>
      <c r="N3" s="9"/>
      <c r="O3" s="9"/>
      <c r="P3" s="9"/>
      <c r="Q3" s="9"/>
    </row>
    <row r="4" spans="1:17" ht="15.6" customHeight="1" x14ac:dyDescent="0.3">
      <c r="C4" s="7" t="s">
        <v>2</v>
      </c>
      <c r="D4" s="7"/>
      <c r="E4" s="7"/>
      <c r="F4" s="7"/>
      <c r="G4" s="7"/>
      <c r="H4" s="7" t="s">
        <v>542</v>
      </c>
      <c r="I4" s="7"/>
      <c r="J4" s="7"/>
      <c r="K4" s="7"/>
      <c r="L4" s="7"/>
      <c r="M4" s="7" t="s">
        <v>543</v>
      </c>
      <c r="N4" s="7"/>
      <c r="O4" s="7"/>
      <c r="P4" s="7"/>
      <c r="Q4" s="7"/>
    </row>
    <row r="5" spans="1:17" x14ac:dyDescent="0.3">
      <c r="C5" s="4">
        <f>GETPIVOTDATA("sum of sales",Sheet7!$A$4)</f>
        <v>6169467</v>
      </c>
      <c r="D5" s="4"/>
      <c r="E5" s="4"/>
      <c r="F5" s="4"/>
      <c r="G5" s="4"/>
      <c r="H5" s="4">
        <f>GETPIVOTDATA("sum of profit",Sheet7!$B$4)</f>
        <v>1642437</v>
      </c>
      <c r="I5" s="4"/>
      <c r="J5" s="4"/>
      <c r="K5" s="4"/>
      <c r="L5" s="4"/>
      <c r="M5" s="5">
        <f>IFERROR(GETPIVOTDATA("sum of profit",Sheet7!$A$4)/GETPIVOTDATA("sum of sales",Sheet7!$B$4),0)</f>
        <v>0.2662202423645349</v>
      </c>
      <c r="N5" s="5"/>
      <c r="O5" s="5"/>
      <c r="P5" s="5"/>
      <c r="Q5" s="5"/>
    </row>
    <row r="6" spans="1:17" x14ac:dyDescent="0.3">
      <c r="C6" s="4"/>
      <c r="D6" s="4"/>
      <c r="E6" s="4"/>
      <c r="F6" s="4"/>
      <c r="G6" s="4"/>
      <c r="H6" s="4"/>
      <c r="I6" s="4"/>
      <c r="J6" s="4"/>
      <c r="K6" s="4"/>
      <c r="L6" s="4"/>
      <c r="M6" s="5"/>
      <c r="N6" s="5"/>
      <c r="O6" s="5"/>
      <c r="P6" s="5"/>
      <c r="Q6" s="5"/>
    </row>
    <row r="8" spans="1:17" x14ac:dyDescent="0.3">
      <c r="H8" s="6" t="s">
        <v>545</v>
      </c>
      <c r="I8" t="s">
        <v>544</v>
      </c>
      <c r="J8" s="6" t="s">
        <v>545</v>
      </c>
      <c r="K8" t="s">
        <v>547</v>
      </c>
    </row>
    <row r="9" spans="1:17" x14ac:dyDescent="0.3">
      <c r="H9" s="1" t="s">
        <v>21</v>
      </c>
      <c r="I9" s="2">
        <v>1215646.5</v>
      </c>
      <c r="J9" s="1" t="s">
        <v>21</v>
      </c>
      <c r="K9" s="2">
        <v>341076.5</v>
      </c>
    </row>
    <row r="10" spans="1:17" x14ac:dyDescent="0.3">
      <c r="H10" s="1" t="s">
        <v>42</v>
      </c>
      <c r="I10" s="2">
        <v>1707099.5</v>
      </c>
      <c r="J10" s="1" t="s">
        <v>42</v>
      </c>
      <c r="K10" s="2">
        <v>426414.5</v>
      </c>
    </row>
    <row r="11" spans="1:17" x14ac:dyDescent="0.3">
      <c r="H11" s="1" t="s">
        <v>14</v>
      </c>
      <c r="I11" s="2">
        <v>1095532</v>
      </c>
      <c r="J11" s="1" t="s">
        <v>14</v>
      </c>
      <c r="K11" s="2">
        <v>282647</v>
      </c>
    </row>
    <row r="12" spans="1:17" x14ac:dyDescent="0.3">
      <c r="H12" s="1" t="s">
        <v>37</v>
      </c>
      <c r="I12" s="2">
        <v>1083920</v>
      </c>
      <c r="J12" s="1" t="s">
        <v>37</v>
      </c>
      <c r="K12" s="2">
        <v>297420</v>
      </c>
    </row>
    <row r="13" spans="1:17" x14ac:dyDescent="0.3">
      <c r="H13" s="1" t="s">
        <v>25</v>
      </c>
      <c r="I13" s="2">
        <v>1067269</v>
      </c>
      <c r="J13" s="1" t="s">
        <v>25</v>
      </c>
      <c r="K13" s="2">
        <v>294879</v>
      </c>
    </row>
    <row r="14" spans="1:17" x14ac:dyDescent="0.3">
      <c r="H14" s="1" t="s">
        <v>546</v>
      </c>
      <c r="I14" s="2">
        <v>6169467</v>
      </c>
      <c r="J14" s="1" t="s">
        <v>546</v>
      </c>
      <c r="K14" s="2">
        <v>1642437</v>
      </c>
    </row>
    <row r="27" spans="22:22" x14ac:dyDescent="0.3">
      <c r="V27" s="8"/>
    </row>
  </sheetData>
  <mergeCells count="8">
    <mergeCell ref="A2:Q3"/>
    <mergeCell ref="H4:L4"/>
    <mergeCell ref="M4:Q4"/>
    <mergeCell ref="C5:G6"/>
    <mergeCell ref="H5:L6"/>
    <mergeCell ref="M5:Q6"/>
    <mergeCell ref="C4:G4"/>
    <mergeCell ref="A1:Q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8EEF4-BD47-40B2-B449-D913BC7BD0D8}">
  <dimension ref="A3:C16"/>
  <sheetViews>
    <sheetView workbookViewId="0">
      <selection activeCell="B8" sqref="B7:B8"/>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545</v>
      </c>
      <c r="B3" t="s">
        <v>544</v>
      </c>
      <c r="C3" t="s">
        <v>547</v>
      </c>
    </row>
    <row r="4" spans="1:3" x14ac:dyDescent="0.3">
      <c r="A4" s="1" t="s">
        <v>548</v>
      </c>
      <c r="B4" s="2">
        <v>565411.5</v>
      </c>
      <c r="C4" s="2">
        <v>164456.5</v>
      </c>
    </row>
    <row r="5" spans="1:3" x14ac:dyDescent="0.3">
      <c r="A5" s="1" t="s">
        <v>549</v>
      </c>
      <c r="B5" s="2">
        <v>566675</v>
      </c>
      <c r="C5" s="2">
        <v>139715</v>
      </c>
    </row>
    <row r="6" spans="1:3" x14ac:dyDescent="0.3">
      <c r="A6" s="1" t="s">
        <v>550</v>
      </c>
      <c r="B6" s="2">
        <v>558793</v>
      </c>
      <c r="C6" s="2">
        <v>160443</v>
      </c>
    </row>
    <row r="7" spans="1:3" x14ac:dyDescent="0.3">
      <c r="A7" s="1" t="s">
        <v>551</v>
      </c>
      <c r="B7" s="2">
        <v>563832</v>
      </c>
      <c r="C7" s="2">
        <v>121942</v>
      </c>
    </row>
    <row r="8" spans="1:3" x14ac:dyDescent="0.3">
      <c r="A8" s="1" t="s">
        <v>552</v>
      </c>
      <c r="B8" s="2">
        <v>391115.5</v>
      </c>
      <c r="C8" s="2">
        <v>116840.5</v>
      </c>
    </row>
    <row r="9" spans="1:3" x14ac:dyDescent="0.3">
      <c r="A9" s="1" t="s">
        <v>553</v>
      </c>
      <c r="B9" s="2">
        <v>657327.5</v>
      </c>
      <c r="C9" s="2">
        <v>166007.5</v>
      </c>
    </row>
    <row r="10" spans="1:3" x14ac:dyDescent="0.3">
      <c r="A10" s="1" t="s">
        <v>554</v>
      </c>
      <c r="B10" s="2">
        <v>295796.5</v>
      </c>
      <c r="C10" s="2">
        <v>96771.5</v>
      </c>
    </row>
    <row r="11" spans="1:3" x14ac:dyDescent="0.3">
      <c r="A11" s="1" t="s">
        <v>555</v>
      </c>
      <c r="B11" s="2">
        <v>743092</v>
      </c>
      <c r="C11" s="2">
        <v>180322</v>
      </c>
    </row>
    <row r="12" spans="1:3" x14ac:dyDescent="0.3">
      <c r="A12" s="1" t="s">
        <v>556</v>
      </c>
      <c r="B12" s="2">
        <v>269494</v>
      </c>
      <c r="C12" s="2">
        <v>86139</v>
      </c>
    </row>
    <row r="13" spans="1:3" x14ac:dyDescent="0.3">
      <c r="A13" s="1" t="s">
        <v>557</v>
      </c>
      <c r="B13" s="2">
        <v>433435.5</v>
      </c>
      <c r="C13" s="2">
        <v>129000.5</v>
      </c>
    </row>
    <row r="14" spans="1:3" x14ac:dyDescent="0.3">
      <c r="A14" s="1" t="s">
        <v>558</v>
      </c>
      <c r="B14" s="2">
        <v>488181</v>
      </c>
      <c r="C14" s="2">
        <v>122661</v>
      </c>
    </row>
    <row r="15" spans="1:3" x14ac:dyDescent="0.3">
      <c r="A15" s="1" t="s">
        <v>559</v>
      </c>
      <c r="B15" s="2">
        <v>636313.5</v>
      </c>
      <c r="C15" s="2">
        <v>158138.5</v>
      </c>
    </row>
    <row r="16" spans="1:3" x14ac:dyDescent="0.3">
      <c r="A16" s="1" t="s">
        <v>546</v>
      </c>
      <c r="B16" s="2">
        <v>6169467</v>
      </c>
      <c r="C16" s="2">
        <v>1642437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EDF411-70CF-4628-BECE-2F571E8F9E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Sheet4</vt:lpstr>
      <vt:lpstr>Sheet5</vt:lpstr>
      <vt:lpstr>Sheet6</vt:lpstr>
      <vt:lpstr>Sheet7</vt:lpstr>
      <vt:lpstr>Retail_Sales_Analysis_Dataset (</vt:lpstr>
      <vt:lpstr>Sheet1</vt:lpstr>
      <vt:lpstr>Dashboard_Final</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kshirsagar</dc:creator>
  <cp:lastModifiedBy>omkar kshirsagar</cp:lastModifiedBy>
  <dcterms:created xsi:type="dcterms:W3CDTF">2026-10-21T12:57:12Z</dcterms:created>
  <dcterms:modified xsi:type="dcterms:W3CDTF">2026-10-22T03:10:37Z</dcterms:modified>
</cp:coreProperties>
</file>